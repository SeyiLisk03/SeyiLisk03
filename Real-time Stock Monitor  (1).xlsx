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opy of Dashboard" sheetId="2" r:id="rId5"/>
    <sheet state="visible" name="StockOverview" sheetId="3" r:id="rId6"/>
    <sheet state="visible" name="TSM" sheetId="4" r:id="rId7"/>
    <sheet state="visible" name="Sheet7" sheetId="5" r:id="rId8"/>
    <sheet state="visible" name="Sheet8" sheetId="6" r:id="rId9"/>
    <sheet state="visible" name="Sales" sheetId="7" r:id="rId10"/>
    <sheet state="visible" name="Handover Note" sheetId="8" r:id="rId11"/>
    <sheet state="visible" name="C of Dashboard" sheetId="9" r:id="rId12"/>
    <sheet state="visible" name="data" sheetId="10" r:id="rId13"/>
    <sheet state="visible" name="T-03 Activities" sheetId="11" r:id="rId14"/>
    <sheet state="visible" name="Form responses 7" sheetId="12" r:id="rId15"/>
  </sheets>
  <definedNames>
    <definedName hidden="1" localSheetId="3" name="_xlnm._FilterDatabase">TSM!$A$1:$Q$104</definedName>
    <definedName hidden="1" localSheetId="6" name="_xlnm._FilterDatabase">Sales!$A$1:$J$186</definedName>
  </definedNames>
  <calcPr/>
</workbook>
</file>

<file path=xl/sharedStrings.xml><?xml version="1.0" encoding="utf-8"?>
<sst xmlns="http://schemas.openxmlformats.org/spreadsheetml/2006/main" count="1187" uniqueCount="291">
  <si>
    <t>Real-Time Stock Monitor</t>
  </si>
  <si>
    <t>TOTAL TANK STOCK (L)</t>
  </si>
  <si>
    <t>TANK 1 VARIANCE</t>
  </si>
  <si>
    <t>TOTAL BOWSER STOCK (L)</t>
  </si>
  <si>
    <t>VOLUME SOLD TODAY</t>
  </si>
  <si>
    <t>CURRENT SHIFT CYCLE</t>
  </si>
  <si>
    <t>TANK STOCK LEVELS</t>
  </si>
  <si>
    <t>Tank ID</t>
  </si>
  <si>
    <t>Volume (L)</t>
  </si>
  <si>
    <t>Select Airline</t>
  </si>
  <si>
    <t>Tank 1</t>
  </si>
  <si>
    <t>ETHIOPIAN</t>
  </si>
  <si>
    <t>Date Combination</t>
  </si>
  <si>
    <t>Tank 2</t>
  </si>
  <si>
    <t xml:space="preserve">Start Day               </t>
  </si>
  <si>
    <t>End Day</t>
  </si>
  <si>
    <t>Tank 3</t>
  </si>
  <si>
    <t>Bowser ID</t>
  </si>
  <si>
    <t>Adeyemi</t>
  </si>
  <si>
    <t>Start Month</t>
  </si>
  <si>
    <t>End Month</t>
  </si>
  <si>
    <t>Tank Stock Movement</t>
  </si>
  <si>
    <t>Akachi</t>
  </si>
  <si>
    <t>SEP</t>
  </si>
  <si>
    <t>Total Inflow</t>
  </si>
  <si>
    <t>Ashake</t>
  </si>
  <si>
    <t>Start Year</t>
  </si>
  <si>
    <t>End Year</t>
  </si>
  <si>
    <t>Expected</t>
  </si>
  <si>
    <t>Divine grace</t>
  </si>
  <si>
    <t>Actual</t>
  </si>
  <si>
    <t>Odogwu</t>
  </si>
  <si>
    <t>Start Date</t>
  </si>
  <si>
    <t>End Date</t>
  </si>
  <si>
    <t>Total Outflow</t>
  </si>
  <si>
    <t>Roseline</t>
  </si>
  <si>
    <t>Seriki</t>
  </si>
  <si>
    <t>Date Validity</t>
  </si>
  <si>
    <t>Sultan</t>
  </si>
  <si>
    <t>Dip Value</t>
  </si>
  <si>
    <t xml:space="preserve">Real-Time Stock Monitor </t>
  </si>
  <si>
    <t xml:space="preserve">Total Inflow Today </t>
  </si>
  <si>
    <t>Total Outflow Today</t>
  </si>
  <si>
    <t>Opening Timestamp</t>
  </si>
  <si>
    <t>Opening</t>
  </si>
  <si>
    <t>Inflow</t>
  </si>
  <si>
    <t>Outflow</t>
  </si>
  <si>
    <t>Dip Change</t>
  </si>
  <si>
    <t>Variance</t>
  </si>
  <si>
    <t>CURRENT DATE &amp; TIME</t>
  </si>
  <si>
    <t>CURRENT TANK OVERVIEW</t>
  </si>
  <si>
    <t>Current Stock (L)</t>
  </si>
  <si>
    <t>Capacity (L)</t>
  </si>
  <si>
    <t>Available Capacity</t>
  </si>
  <si>
    <t>% Filled</t>
  </si>
  <si>
    <t>Opening Stock</t>
  </si>
  <si>
    <t>Closing Stock</t>
  </si>
  <si>
    <t>Total</t>
  </si>
  <si>
    <t>CURRENT BOWSER OVERVIEW</t>
  </si>
  <si>
    <t>Divine Grace</t>
  </si>
  <si>
    <t>TOTAL</t>
  </si>
  <si>
    <t>Today's Date:</t>
  </si>
  <si>
    <t>Timestamp</t>
  </si>
  <si>
    <t>Date</t>
  </si>
  <si>
    <t>Month</t>
  </si>
  <si>
    <t>Tank Activity</t>
  </si>
  <si>
    <t>Equipment ID</t>
  </si>
  <si>
    <t>Meter Reading</t>
  </si>
  <si>
    <t>Expected Stock</t>
  </si>
  <si>
    <t>Quantity</t>
  </si>
  <si>
    <t>Bowser Opening Stock</t>
  </si>
  <si>
    <t>Bowser Closing Stock</t>
  </si>
  <si>
    <t>Quantity Received</t>
  </si>
  <si>
    <t>Operator</t>
  </si>
  <si>
    <t>Movement Type</t>
  </si>
  <si>
    <t>Loading</t>
  </si>
  <si>
    <t>Seyi</t>
  </si>
  <si>
    <t>Chuks</t>
  </si>
  <si>
    <t>Discharge</t>
  </si>
  <si>
    <t>T15326LA</t>
  </si>
  <si>
    <t>John</t>
  </si>
  <si>
    <t>T15327LA</t>
  </si>
  <si>
    <t>Jamiu</t>
  </si>
  <si>
    <t>T20463LA</t>
  </si>
  <si>
    <t>ABC784XD</t>
  </si>
  <si>
    <t>T19344LA</t>
  </si>
  <si>
    <t>T19390LA</t>
  </si>
  <si>
    <t>T15325LA</t>
  </si>
  <si>
    <t>T19345LA</t>
  </si>
  <si>
    <t>KMC128ZQ</t>
  </si>
  <si>
    <t>FKJ21XJ</t>
  </si>
  <si>
    <t>KAF75XE</t>
  </si>
  <si>
    <t>T20959LA</t>
  </si>
  <si>
    <t>T6707LA</t>
  </si>
  <si>
    <t>Bode</t>
  </si>
  <si>
    <t>Ini</t>
  </si>
  <si>
    <t>T22687LA (Abuja)</t>
  </si>
  <si>
    <t>T23544LA (Abuja)</t>
  </si>
  <si>
    <t>Abbas</t>
  </si>
  <si>
    <t>TANK 1</t>
  </si>
  <si>
    <t>TANK 2</t>
  </si>
  <si>
    <t>TANK 3</t>
  </si>
  <si>
    <t>Closing</t>
  </si>
  <si>
    <t>Chronological</t>
  </si>
  <si>
    <t>Difference</t>
  </si>
  <si>
    <t>Year</t>
  </si>
  <si>
    <t>Equipment</t>
  </si>
  <si>
    <t>Airline</t>
  </si>
  <si>
    <t>Aircraft Category</t>
  </si>
  <si>
    <t>Aircraft Number</t>
  </si>
  <si>
    <t>Uplift</t>
  </si>
  <si>
    <t>ADI Number</t>
  </si>
  <si>
    <t>SERIKI</t>
  </si>
  <si>
    <t>QATAR</t>
  </si>
  <si>
    <t>Passenger</t>
  </si>
  <si>
    <t>A7-BHP</t>
  </si>
  <si>
    <t>007728</t>
  </si>
  <si>
    <t>Total Uplift</t>
  </si>
  <si>
    <t>Total Fuellings</t>
  </si>
  <si>
    <t>AKACHI</t>
  </si>
  <si>
    <t>007727</t>
  </si>
  <si>
    <t>ALL AIRLINES</t>
  </si>
  <si>
    <t>Cargo</t>
  </si>
  <si>
    <t>A7-BFB</t>
  </si>
  <si>
    <t>007729</t>
  </si>
  <si>
    <t>ODOGWU</t>
  </si>
  <si>
    <t>007730</t>
  </si>
  <si>
    <t>A7-BFS</t>
  </si>
  <si>
    <t>007732</t>
  </si>
  <si>
    <t>DIVINE GRACE</t>
  </si>
  <si>
    <t>007731</t>
  </si>
  <si>
    <t>SULTAN</t>
  </si>
  <si>
    <t>A7-BDD</t>
  </si>
  <si>
    <t>007735</t>
  </si>
  <si>
    <t>ADEYEMI</t>
  </si>
  <si>
    <t>007733</t>
  </si>
  <si>
    <t>DHL</t>
  </si>
  <si>
    <t>D-ALMD</t>
  </si>
  <si>
    <t>007737</t>
  </si>
  <si>
    <t>EC-MEY</t>
  </si>
  <si>
    <t>007738</t>
  </si>
  <si>
    <t>OM-EDB</t>
  </si>
  <si>
    <t>007736</t>
  </si>
  <si>
    <t>5N-TON</t>
  </si>
  <si>
    <t>007739</t>
  </si>
  <si>
    <t>A7-BHU</t>
  </si>
  <si>
    <t>007741</t>
  </si>
  <si>
    <t>007740</t>
  </si>
  <si>
    <t>A7-BCV</t>
  </si>
  <si>
    <t>007742</t>
  </si>
  <si>
    <t>A7-BHG</t>
  </si>
  <si>
    <t>007744</t>
  </si>
  <si>
    <t>007743</t>
  </si>
  <si>
    <t>A7-BFA</t>
  </si>
  <si>
    <t>007745</t>
  </si>
  <si>
    <t>A7-BCW</t>
  </si>
  <si>
    <t>007747</t>
  </si>
  <si>
    <t>007746</t>
  </si>
  <si>
    <t>A7-BBG</t>
  </si>
  <si>
    <t>007748</t>
  </si>
  <si>
    <t>007749</t>
  </si>
  <si>
    <t>007752</t>
  </si>
  <si>
    <t>007750</t>
  </si>
  <si>
    <t>A7-BCP</t>
  </si>
  <si>
    <t>007754</t>
  </si>
  <si>
    <t>007753</t>
  </si>
  <si>
    <t>A7-BCB</t>
  </si>
  <si>
    <t>007755</t>
  </si>
  <si>
    <t>007756</t>
  </si>
  <si>
    <t>A7-BHT</t>
  </si>
  <si>
    <t>007758</t>
  </si>
  <si>
    <t>007757</t>
  </si>
  <si>
    <t>A7-BTB</t>
  </si>
  <si>
    <t>007760</t>
  </si>
  <si>
    <t>007761</t>
  </si>
  <si>
    <t>007762</t>
  </si>
  <si>
    <t>007759</t>
  </si>
  <si>
    <t>A7-BFU</t>
  </si>
  <si>
    <t>007765</t>
  </si>
  <si>
    <t>007763</t>
  </si>
  <si>
    <t>ET-BAO</t>
  </si>
  <si>
    <t>007764</t>
  </si>
  <si>
    <t>ET-BAZ</t>
  </si>
  <si>
    <t>007766</t>
  </si>
  <si>
    <t>007768</t>
  </si>
  <si>
    <t>007769</t>
  </si>
  <si>
    <t>D-ALEJ</t>
  </si>
  <si>
    <t>007771</t>
  </si>
  <si>
    <t>007770</t>
  </si>
  <si>
    <t>007767</t>
  </si>
  <si>
    <t>ET-BAI</t>
  </si>
  <si>
    <t>007772</t>
  </si>
  <si>
    <t>ET-AVT</t>
  </si>
  <si>
    <t>007773</t>
  </si>
  <si>
    <t>007774</t>
  </si>
  <si>
    <t>ET-ARI</t>
  </si>
  <si>
    <t>007775</t>
  </si>
  <si>
    <t>ET-BAY</t>
  </si>
  <si>
    <t>007776</t>
  </si>
  <si>
    <t>LUFTHANSA</t>
  </si>
  <si>
    <t>D-AIKL</t>
  </si>
  <si>
    <t>007777</t>
  </si>
  <si>
    <t>007778</t>
  </si>
  <si>
    <t>007780</t>
  </si>
  <si>
    <t>007779</t>
  </si>
  <si>
    <t>ET-AWI</t>
  </si>
  <si>
    <t>007781</t>
  </si>
  <si>
    <t>VIRGIN ATLANTIC</t>
  </si>
  <si>
    <t>G-VJAZ</t>
  </si>
  <si>
    <t>007782</t>
  </si>
  <si>
    <t>ET-AZI</t>
  </si>
  <si>
    <t>007784</t>
  </si>
  <si>
    <t>ET-ATJ</t>
  </si>
  <si>
    <t>007783</t>
  </si>
  <si>
    <t>Executive</t>
  </si>
  <si>
    <t>A7-CGD</t>
  </si>
  <si>
    <t>007801</t>
  </si>
  <si>
    <t>G-VTOM</t>
  </si>
  <si>
    <t>007785</t>
  </si>
  <si>
    <t>ET-BBG</t>
  </si>
  <si>
    <t>007802</t>
  </si>
  <si>
    <t>ET-AZO</t>
  </si>
  <si>
    <t>007803</t>
  </si>
  <si>
    <t>007804</t>
  </si>
  <si>
    <t>007786</t>
  </si>
  <si>
    <t>ET-BAN</t>
  </si>
  <si>
    <t>007805</t>
  </si>
  <si>
    <t>007806</t>
  </si>
  <si>
    <t>ET-AZN</t>
  </si>
  <si>
    <t>007787</t>
  </si>
  <si>
    <t>ET-AWE</t>
  </si>
  <si>
    <t>007788</t>
  </si>
  <si>
    <t>007789</t>
  </si>
  <si>
    <t>ET-BAK</t>
  </si>
  <si>
    <t>007790</t>
  </si>
  <si>
    <t>007791</t>
  </si>
  <si>
    <t>007792</t>
  </si>
  <si>
    <t>007794</t>
  </si>
  <si>
    <t>ET-AWH</t>
  </si>
  <si>
    <t>007795</t>
  </si>
  <si>
    <t>007808</t>
  </si>
  <si>
    <t>007811</t>
  </si>
  <si>
    <t>007812</t>
  </si>
  <si>
    <t>007809</t>
  </si>
  <si>
    <t>007807</t>
  </si>
  <si>
    <t>007810</t>
  </si>
  <si>
    <t>007796</t>
  </si>
  <si>
    <t>ET-BAX</t>
  </si>
  <si>
    <t>007813</t>
  </si>
  <si>
    <t>ET-AXG</t>
  </si>
  <si>
    <t>007797</t>
  </si>
  <si>
    <t>007800</t>
  </si>
  <si>
    <t>007799</t>
  </si>
  <si>
    <t>ET-AWK</t>
  </si>
  <si>
    <t>007798</t>
  </si>
  <si>
    <t>Shift</t>
  </si>
  <si>
    <t>Tank/Bowser ID</t>
  </si>
  <si>
    <t>Tank/Bowser ID [Row 2]</t>
  </si>
  <si>
    <t>Tank/Bowser ID [Row 3]</t>
  </si>
  <si>
    <t>Tank/Bowser ID [Row 4]</t>
  </si>
  <si>
    <t>Tank/Bowser ID [Row 5]</t>
  </si>
  <si>
    <t>Tank/Bowser ID [Row 6]</t>
  </si>
  <si>
    <t>Tank/Bowser ID [Row 7]</t>
  </si>
  <si>
    <t>Tank/Bowser ID [Row 8]</t>
  </si>
  <si>
    <t>Tank/Bowser ID [Row 9]</t>
  </si>
  <si>
    <t>Tank/Bowser ID [Row 10]</t>
  </si>
  <si>
    <t>Tank/Bowser ID [Row 11]</t>
  </si>
  <si>
    <t>Tank/Bowser ID [Row 12]</t>
  </si>
  <si>
    <t>Night</t>
  </si>
  <si>
    <t>VOLUME SOLD TODAY (L)</t>
  </si>
  <si>
    <t>VOLUME SOLD BY MONTH (L)</t>
  </si>
  <si>
    <t>SALES THIS MONTH BY AIRLINE</t>
  </si>
  <si>
    <t>SALES THIS MONTH BY AIRLINE (L)</t>
  </si>
  <si>
    <t>CURRENT TANK STOCK OVERVIEW</t>
  </si>
  <si>
    <t>ALTERT</t>
  </si>
  <si>
    <t xml:space="preserve">Tank ID </t>
  </si>
  <si>
    <t>FILTERS</t>
  </si>
  <si>
    <t>TANK STOCK MOVEMENT</t>
  </si>
  <si>
    <t>Activity</t>
  </si>
  <si>
    <t>Expected (L)</t>
  </si>
  <si>
    <t>Actual (L)</t>
  </si>
  <si>
    <t>Select Month</t>
  </si>
  <si>
    <t xml:space="preserve">Total </t>
  </si>
  <si>
    <t>SEPTEMBER</t>
  </si>
  <si>
    <t>Total Loading</t>
  </si>
  <si>
    <t>Select Year</t>
  </si>
  <si>
    <t>Total Bowser Trf.</t>
  </si>
  <si>
    <t>Tank Activity Description</t>
  </si>
  <si>
    <t>Expected Closing Stock</t>
  </si>
  <si>
    <t xml:space="preserve">Quantity </t>
  </si>
  <si>
    <t>Untitled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</si>
</sst>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dddd&quot;, &quot;d&quot; &quot;mmmm&quot; &quot;yyyy"/>
    <numFmt numFmtId="166" formatCode="####"/>
    <numFmt numFmtId="167" formatCode="dd/MM/yyyy HH:mm:ss"/>
    <numFmt numFmtId="168" formatCode="dd/mm/yyyy"/>
    <numFmt numFmtId="169" formatCode="dd/MM/yyyy"/>
    <numFmt numFmtId="170" formatCode="00####"/>
  </numFmts>
  <fonts count="52">
    <font>
      <sz val="11.0"/>
      <color theme="1"/>
      <name val="Calibri"/>
      <scheme val="minor"/>
    </font>
    <font>
      <b/>
      <sz val="20.0"/>
      <color rgb="FFE7F9EF"/>
      <name val="Calibri"/>
      <scheme val="minor"/>
    </font>
    <font/>
    <font>
      <b/>
      <sz val="8.0"/>
      <color rgb="FF00543D"/>
      <name val="Calibri"/>
    </font>
    <font>
      <b/>
      <sz val="24.0"/>
      <color rgb="FF00543D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Roboto"/>
    </font>
    <font>
      <b/>
      <color rgb="FFFFFFFF"/>
      <name val="Calibri"/>
      <scheme val="minor"/>
    </font>
    <font>
      <b/>
      <sz val="10.0"/>
      <color rgb="FF2E7B4F"/>
      <name val="Calibri"/>
      <scheme val="minor"/>
    </font>
    <font>
      <b/>
      <color rgb="FF2E7B4F"/>
      <name val="Calibri"/>
      <scheme val="minor"/>
    </font>
    <font>
      <sz val="11.0"/>
      <color rgb="FF356854"/>
      <name val="Calibri"/>
    </font>
    <font>
      <b/>
      <sz val="12.0"/>
      <color rgb="FF356854"/>
      <name val="Calibri"/>
    </font>
    <font>
      <b/>
      <color rgb="FFFF0000"/>
      <name val="Calibri"/>
      <scheme val="minor"/>
    </font>
    <font>
      <b/>
      <sz val="12.0"/>
      <color rgb="FF31473A"/>
      <name val="Calibri"/>
      <scheme val="minor"/>
    </font>
    <font>
      <b/>
      <sz val="11.0"/>
      <color rgb="FFEDCD44"/>
      <name val="Calibri"/>
    </font>
    <font>
      <sz val="10.0"/>
      <color rgb="FF2E7B4F"/>
      <name val="Calibri"/>
      <scheme val="minor"/>
    </font>
    <font>
      <b/>
      <sz val="12.0"/>
      <color theme="1"/>
      <name val="Calibri"/>
      <scheme val="minor"/>
    </font>
    <font>
      <color rgb="FF31473A"/>
      <name val="Calibri"/>
      <scheme val="minor"/>
    </font>
    <font>
      <color rgb="FFFFFFFF"/>
      <name val="Calibri"/>
      <scheme val="minor"/>
    </font>
    <font>
      <b/>
      <color rgb="FF356854"/>
      <name val="Calibri"/>
      <scheme val="minor"/>
    </font>
    <font>
      <color rgb="FF00543D"/>
      <name val="Calibri"/>
      <scheme val="minor"/>
    </font>
    <font>
      <b/>
      <color rgb="FF00543D"/>
      <name val="Calibri"/>
      <scheme val="minor"/>
    </font>
    <font>
      <b/>
      <color rgb="FFFBFFFC"/>
      <name val="Calibri"/>
      <scheme val="minor"/>
    </font>
    <font>
      <b/>
      <sz val="11.0"/>
      <color theme="1"/>
      <name val="Calibri"/>
    </font>
    <font>
      <b/>
      <sz val="11.0"/>
      <color rgb="FF00543D"/>
      <name val="Calibri"/>
      <scheme val="minor"/>
    </font>
    <font>
      <b/>
      <sz val="12.0"/>
      <color rgb="FF356854"/>
      <name val="Calibri"/>
      <scheme val="minor"/>
    </font>
    <font>
      <b/>
      <color rgb="FF31473A"/>
      <name val="Calibri"/>
      <scheme val="minor"/>
    </font>
    <font>
      <b/>
      <sz val="14.0"/>
      <color theme="0"/>
      <name val="Calibri"/>
      <scheme val="minor"/>
    </font>
    <font>
      <b/>
      <sz val="14.0"/>
      <color theme="1"/>
      <name val="Calibri"/>
      <scheme val="minor"/>
    </font>
    <font>
      <color rgb="FFFBFFFC"/>
      <name val="Calibri"/>
      <scheme val="minor"/>
    </font>
    <font>
      <b/>
      <sz val="12.0"/>
      <color rgb="FF00543D"/>
      <name val="Calibri"/>
      <scheme val="minor"/>
    </font>
    <font>
      <sz val="12.0"/>
      <color theme="1"/>
      <name val="Calibri"/>
      <scheme val="minor"/>
    </font>
    <font>
      <sz val="12.0"/>
      <color theme="1"/>
      <name val="Calibri"/>
    </font>
    <font>
      <b/>
      <sz val="13.0"/>
      <color rgb="FF31473A"/>
      <name val="Calibri"/>
      <scheme val="minor"/>
    </font>
    <font>
      <b/>
      <sz val="12.0"/>
      <color rgb="FFFFFFFF"/>
      <name val="Calibri"/>
    </font>
    <font>
      <b/>
      <sz val="12.0"/>
      <color rgb="FFFFFFFF"/>
      <name val="Calibri"/>
      <scheme val="minor"/>
    </font>
    <font>
      <sz val="12.0"/>
      <color rgb="FF00543D"/>
      <name val="Calibri"/>
    </font>
    <font>
      <b/>
      <sz val="9.0"/>
      <color theme="1"/>
      <name val="Calibri"/>
    </font>
    <font>
      <b/>
      <sz val="12.0"/>
      <color rgb="FF00543D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3.0"/>
      <color rgb="FF31473A"/>
      <name val="Calibri"/>
    </font>
    <font>
      <b/>
      <sz val="13.0"/>
      <color rgb="FF2E7B4F"/>
      <name val="Calibri"/>
      <scheme val="minor"/>
    </font>
    <font>
      <b/>
      <sz val="13.0"/>
      <color theme="1"/>
      <name val="Calibri"/>
      <scheme val="minor"/>
    </font>
    <font>
      <color theme="1"/>
      <name val="Calibri"/>
    </font>
    <font>
      <color theme="1"/>
      <name val="Roboto"/>
    </font>
    <font>
      <b/>
      <sz val="12.0"/>
      <color rgb="FF00543D"/>
      <name val="Roboto"/>
    </font>
    <font>
      <b/>
      <color rgb="FF00543D"/>
      <name val="Roboto"/>
    </font>
    <font>
      <b/>
      <sz val="9.0"/>
      <color rgb="FFEDCD44"/>
      <name val="Calibri"/>
    </font>
    <font>
      <b/>
      <sz val="11.0"/>
      <color rgb="FF356854"/>
      <name val="Calibri"/>
    </font>
    <font>
      <b/>
      <sz val="13.0"/>
      <color rgb="FF00543D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543D"/>
        <bgColor rgb="FF00543D"/>
      </patternFill>
    </fill>
    <fill>
      <patternFill patternType="solid">
        <fgColor rgb="FFEDCD44"/>
        <bgColor rgb="FFEDCD44"/>
      </patternFill>
    </fill>
    <fill>
      <patternFill patternType="solid">
        <fgColor rgb="FFFBFFFC"/>
        <bgColor rgb="FFFBFFFC"/>
      </patternFill>
    </fill>
    <fill>
      <patternFill patternType="solid">
        <fgColor rgb="FFF5FBF7"/>
        <bgColor rgb="FFF5FBF7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8F9FA"/>
        <bgColor rgb="FFF8F9FA"/>
      </patternFill>
    </fill>
    <fill>
      <patternFill patternType="solid">
        <fgColor rgb="FF31473A"/>
        <bgColor rgb="FF31473A"/>
      </patternFill>
    </fill>
    <fill>
      <patternFill patternType="solid">
        <fgColor rgb="FF63D297"/>
        <bgColor rgb="FF63D297"/>
      </patternFill>
    </fill>
    <fill>
      <patternFill patternType="solid">
        <fgColor rgb="FFFF9900"/>
        <bgColor rgb="FFFF9900"/>
      </patternFill>
    </fill>
    <fill>
      <patternFill patternType="solid">
        <fgColor rgb="FFE7F9EF"/>
        <bgColor rgb="FFE7F9EF"/>
      </patternFill>
    </fill>
    <fill>
      <patternFill patternType="solid">
        <fgColor theme="0"/>
        <bgColor theme="0"/>
      </patternFill>
    </fill>
    <fill>
      <patternFill patternType="solid">
        <fgColor rgb="FF2E7B4F"/>
        <bgColor rgb="FF2E7B4F"/>
      </patternFill>
    </fill>
    <fill>
      <patternFill patternType="solid">
        <fgColor rgb="FF356854"/>
        <bgColor rgb="FF356854"/>
      </patternFill>
    </fill>
  </fills>
  <borders count="7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34A853"/>
      </left>
      <top style="thin">
        <color rgb="FF34A853"/>
      </top>
    </border>
    <border>
      <top style="thin">
        <color rgb="FF34A853"/>
      </top>
    </border>
    <border>
      <right style="thin">
        <color rgb="FF34A853"/>
      </right>
      <top style="thin">
        <color rgb="FF34A853"/>
      </top>
    </border>
    <border>
      <left style="thin">
        <color rgb="FF34A853"/>
      </left>
    </border>
    <border>
      <right style="thin">
        <color rgb="FF34A853"/>
      </right>
    </border>
    <border>
      <left style="thin">
        <color rgb="FF34A853"/>
      </left>
      <bottom style="thin">
        <color rgb="FF34A853"/>
      </bottom>
    </border>
    <border>
      <bottom style="thin">
        <color rgb="FF34A853"/>
      </bottom>
    </border>
    <border>
      <right style="thin">
        <color rgb="FF34A853"/>
      </right>
      <bottom style="thin">
        <color rgb="FF34A853"/>
      </bottom>
    </border>
    <border>
      <left style="thin">
        <color rgb="FF34A853"/>
      </left>
      <top style="thin">
        <color rgb="FF34A853"/>
      </top>
      <bottom style="thin">
        <color rgb="FF34A853"/>
      </bottom>
    </border>
    <border>
      <top style="thin">
        <color rgb="FF34A853"/>
      </top>
      <bottom style="thin">
        <color rgb="FF34A853"/>
      </bottom>
    </border>
    <border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63D297"/>
      </left>
      <top style="thin">
        <color rgb="FF63D297"/>
      </top>
      <bottom style="thin">
        <color rgb="FF63D297"/>
      </bottom>
    </border>
    <border>
      <top style="thin">
        <color rgb="FF63D297"/>
      </top>
      <bottom style="thin">
        <color rgb="FF63D297"/>
      </bottom>
    </border>
    <border>
      <right style="thin">
        <color rgb="FF63D297"/>
      </right>
      <top style="thin">
        <color rgb="FF63D297"/>
      </top>
      <bottom style="thin">
        <color rgb="FF63D297"/>
      </bottom>
    </border>
    <border>
      <left style="thin">
        <color rgb="FF2E7B4F"/>
      </left>
      <top style="thin">
        <color rgb="FF2E7B4F"/>
      </top>
      <bottom style="thin">
        <color rgb="FF2E7B4F"/>
      </bottom>
    </border>
    <border>
      <top style="thin">
        <color rgb="FF2E7B4F"/>
      </top>
      <bottom style="thin">
        <color rgb="FF2E7B4F"/>
      </bottom>
    </border>
    <border>
      <right style="thin">
        <color rgb="FF2E7B4F"/>
      </right>
      <top style="thin">
        <color rgb="FF2E7B4F"/>
      </top>
      <bottom style="thin">
        <color rgb="FF2E7B4F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1473A"/>
      </left>
      <top style="thin">
        <color rgb="FF31473A"/>
      </top>
      <bottom style="thin">
        <color rgb="FF31473A"/>
      </bottom>
    </border>
    <border>
      <right style="thin">
        <color rgb="FF31473A"/>
      </right>
      <top style="thin">
        <color rgb="FF31473A"/>
      </top>
      <bottom style="thin">
        <color rgb="FF31473A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31473A"/>
      </left>
      <right style="thin">
        <color rgb="FF31473A"/>
      </right>
      <top style="thin">
        <color rgb="FF31473A"/>
      </top>
      <bottom style="thin">
        <color rgb="FF31473A"/>
      </bottom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980000"/>
      </left>
      <top style="thin">
        <color rgb="FF980000"/>
      </top>
      <bottom style="thin">
        <color rgb="FF980000"/>
      </bottom>
    </border>
    <border>
      <right style="thin">
        <color rgb="FF980000"/>
      </right>
      <top style="thin">
        <color rgb="FF980000"/>
      </top>
      <bottom style="thin">
        <color rgb="FF980000"/>
      </bottom>
    </border>
    <border>
      <top style="thin">
        <color rgb="FF980000"/>
      </top>
      <bottom style="thin">
        <color rgb="FF980000"/>
      </bottom>
    </border>
    <border>
      <left style="thin">
        <color rgb="FF00543D"/>
      </left>
      <top style="thin">
        <color rgb="FF00543D"/>
      </top>
      <bottom style="thin">
        <color rgb="FF00543D"/>
      </bottom>
    </border>
    <border>
      <top style="thin">
        <color rgb="FF00543D"/>
      </top>
      <bottom style="thin">
        <color rgb="FF00543D"/>
      </bottom>
    </border>
    <border>
      <right style="thin">
        <color rgb="FF00543D"/>
      </right>
      <top style="thin">
        <color rgb="FF00543D"/>
      </top>
      <bottom style="thin">
        <color rgb="FF00543D"/>
      </bottom>
    </border>
    <border>
      <left style="medium">
        <color rgb="FF2E7B4F"/>
      </left>
      <bottom style="medium">
        <color rgb="FF2E7B4F"/>
      </bottom>
    </border>
    <border>
      <bottom style="medium">
        <color rgb="FF2E7B4F"/>
      </bottom>
    </border>
    <border>
      <right style="medium">
        <color rgb="FF2E7B4F"/>
      </right>
      <bottom style="medium">
        <color rgb="FF2E7B4F"/>
      </bottom>
    </border>
    <border>
      <left style="medium">
        <color rgb="FF356854"/>
      </left>
      <bottom style="medium">
        <color rgb="FF356854"/>
      </bottom>
    </border>
    <border>
      <bottom style="medium">
        <color rgb="FF356854"/>
      </bottom>
    </border>
    <border>
      <right style="medium">
        <color rgb="FF356854"/>
      </right>
      <bottom style="medium">
        <color rgb="FF356854"/>
      </bottom>
    </border>
    <border>
      <left style="thin">
        <color rgb="FFE7F9EF"/>
      </left>
      <right style="thin">
        <color rgb="FF284E3F"/>
      </right>
      <top style="thin">
        <color rgb="FFE7F9EF"/>
      </top>
      <bottom style="thin">
        <color rgb="FFE7F9E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E7F9EF"/>
      </left>
      <right style="thin">
        <color rgb="FF284E3F"/>
      </right>
      <top style="thin">
        <color rgb="FFE7F9EF"/>
      </top>
      <bottom style="thin">
        <color rgb="FF284E3F"/>
      </bottom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3" fontId="4" numFmtId="3" xfId="0" applyAlignment="1" applyBorder="1" applyFont="1" applyNumberForma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4" fontId="5" numFmtId="0" xfId="0" applyFill="1" applyFont="1"/>
    <xf borderId="0" fillId="0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 vertical="center"/>
    </xf>
    <xf borderId="12" fillId="2" fontId="8" numFmtId="0" xfId="0" applyAlignment="1" applyBorder="1" applyFont="1">
      <alignment readingOrder="0"/>
    </xf>
    <xf borderId="13" fillId="0" fontId="2" numFmtId="0" xfId="0" applyBorder="1" applyFont="1"/>
    <xf borderId="13" fillId="2" fontId="8" numFmtId="0" xfId="0" applyAlignment="1" applyBorder="1" applyFont="1">
      <alignment readingOrder="0"/>
    </xf>
    <xf borderId="14" fillId="0" fontId="2" numFmtId="0" xfId="0" applyBorder="1" applyFont="1"/>
    <xf borderId="4" fillId="5" fontId="9" numFmtId="0" xfId="0" applyAlignment="1" applyBorder="1" applyFill="1" applyFont="1">
      <alignment readingOrder="0" vertical="center"/>
    </xf>
    <xf borderId="12" fillId="3" fontId="5" numFmtId="164" xfId="0" applyBorder="1" applyFont="1" applyNumberFormat="1"/>
    <xf borderId="0" fillId="0" fontId="10" numFmtId="0" xfId="0" applyAlignment="1" applyFont="1">
      <alignment readingOrder="0"/>
    </xf>
    <xf borderId="9" fillId="5" fontId="11" numFmtId="0" xfId="0" applyAlignment="1" applyBorder="1" applyFont="1">
      <alignment vertical="bottom"/>
    </xf>
    <xf borderId="10" fillId="6" fontId="2" numFmtId="0" xfId="0" applyBorder="1" applyFill="1" applyFont="1"/>
    <xf borderId="11" fillId="6" fontId="2" numFmtId="0" xfId="0" applyBorder="1" applyFont="1"/>
    <xf borderId="9" fillId="3" fontId="12" numFmtId="3" xfId="0" applyAlignment="1" applyBorder="1" applyFont="1" applyNumberFormat="1">
      <alignment horizontal="right" vertical="bottom"/>
    </xf>
    <xf borderId="15" fillId="4" fontId="13" numFmtId="0" xfId="0" applyAlignment="1" applyBorder="1" applyFont="1">
      <alignment horizontal="left" readingOrder="0"/>
    </xf>
    <xf borderId="16" fillId="0" fontId="2" numFmtId="0" xfId="0" applyBorder="1" applyFont="1"/>
    <xf borderId="17" fillId="0" fontId="2" numFmtId="0" xfId="0" applyBorder="1" applyFont="1"/>
    <xf borderId="0" fillId="0" fontId="14" numFmtId="0" xfId="0" applyAlignment="1" applyFont="1">
      <alignment horizontal="left" readingOrder="0"/>
    </xf>
    <xf borderId="0" fillId="6" fontId="15" numFmtId="165" xfId="0" applyAlignment="1" applyFont="1" applyNumberFormat="1">
      <alignment horizontal="center" shrinkToFit="0" vertical="center" wrapText="0"/>
    </xf>
    <xf borderId="0" fillId="4" fontId="5" numFmtId="3" xfId="0" applyFont="1" applyNumberFormat="1"/>
    <xf borderId="0" fillId="6" fontId="11" numFmtId="3" xfId="0" applyAlignment="1" applyFont="1" applyNumberFormat="1">
      <alignment horizontal="right" vertical="bottom"/>
    </xf>
    <xf borderId="12" fillId="5" fontId="11" numFmtId="0" xfId="0" applyAlignment="1" applyBorder="1" applyFont="1">
      <alignment readingOrder="0" vertical="bottom"/>
    </xf>
    <xf borderId="13" fillId="7" fontId="2" numFmtId="0" xfId="0" applyBorder="1" applyFill="1" applyFont="1"/>
    <xf borderId="14" fillId="7" fontId="2" numFmtId="0" xfId="0" applyBorder="1" applyFont="1"/>
    <xf borderId="12" fillId="3" fontId="12" numFmtId="3" xfId="0" applyAlignment="1" applyBorder="1" applyFont="1" applyNumberFormat="1">
      <alignment horizontal="right" vertical="bottom"/>
    </xf>
    <xf borderId="0" fillId="0" fontId="16" numFmtId="0" xfId="0" applyAlignment="1" applyFont="1">
      <alignment readingOrder="0"/>
    </xf>
    <xf borderId="0" fillId="0" fontId="17" numFmtId="0" xfId="0" applyFont="1"/>
    <xf borderId="13" fillId="6" fontId="2" numFmtId="0" xfId="0" applyBorder="1" applyFont="1"/>
    <xf borderId="14" fillId="6" fontId="2" numFmtId="0" xfId="0" applyBorder="1" applyFont="1"/>
    <xf borderId="12" fillId="8" fontId="18" numFmtId="0" xfId="0" applyAlignment="1" applyBorder="1" applyFill="1" applyFont="1">
      <alignment readingOrder="0"/>
    </xf>
    <xf borderId="12" fillId="2" fontId="19" numFmtId="0" xfId="0" applyAlignment="1" applyBorder="1" applyFont="1">
      <alignment readingOrder="0"/>
    </xf>
    <xf borderId="12" fillId="3" fontId="6" numFmtId="166" xfId="0" applyAlignment="1" applyBorder="1" applyFont="1" applyNumberFormat="1">
      <alignment horizontal="left" readingOrder="0"/>
    </xf>
    <xf borderId="0" fillId="6" fontId="20" numFmtId="0" xfId="0" applyFont="1"/>
    <xf borderId="12" fillId="5" fontId="21" numFmtId="0" xfId="0" applyAlignment="1" applyBorder="1" applyFont="1">
      <alignment readingOrder="0"/>
    </xf>
    <xf borderId="12" fillId="3" fontId="22" numFmtId="0" xfId="0" applyBorder="1" applyFont="1"/>
    <xf borderId="0" fillId="6" fontId="16" numFmtId="0" xfId="0" applyAlignment="1" applyFont="1">
      <alignment readingOrder="0" vertical="center"/>
    </xf>
    <xf borderId="0" fillId="4" fontId="16" numFmtId="0" xfId="0" applyAlignment="1" applyFont="1">
      <alignment readingOrder="0" vertical="center"/>
    </xf>
    <xf borderId="12" fillId="2" fontId="23" numFmtId="0" xfId="0" applyAlignment="1" applyBorder="1" applyFont="1">
      <alignment horizontal="center" readingOrder="0" vertical="center"/>
    </xf>
    <xf borderId="12" fillId="3" fontId="22" numFmtId="3" xfId="0" applyBorder="1" applyFont="1" applyNumberFormat="1"/>
    <xf borderId="12" fillId="3" fontId="24" numFmtId="0" xfId="0" applyAlignment="1" applyBorder="1" applyFont="1">
      <alignment horizontal="left" readingOrder="0" vertical="bottom"/>
    </xf>
    <xf borderId="0" fillId="4" fontId="13" numFmtId="0" xfId="0" applyAlignment="1" applyFont="1">
      <alignment horizontal="left" readingOrder="0"/>
    </xf>
    <xf borderId="12" fillId="5" fontId="25" numFmtId="0" xfId="0" applyAlignment="1" applyBorder="1" applyFont="1">
      <alignment horizontal="center" readingOrder="0"/>
    </xf>
    <xf borderId="0" fillId="4" fontId="16" numFmtId="0" xfId="0" applyAlignment="1" applyFont="1">
      <alignment readingOrder="0"/>
    </xf>
    <xf borderId="12" fillId="3" fontId="21" numFmtId="0" xfId="0" applyAlignment="1" applyBorder="1" applyFont="1">
      <alignment readingOrder="0"/>
    </xf>
    <xf borderId="12" fillId="3" fontId="26" numFmtId="0" xfId="0" applyAlignment="1" applyBorder="1" applyFont="1">
      <alignment readingOrder="0"/>
    </xf>
    <xf borderId="0" fillId="4" fontId="6" numFmtId="0" xfId="0" applyAlignment="1" applyFont="1">
      <alignment horizontal="left"/>
    </xf>
    <xf borderId="12" fillId="3" fontId="17" numFmtId="0" xfId="0" applyAlignment="1" applyBorder="1" applyFont="1">
      <alignment horizontal="left" readingOrder="0"/>
    </xf>
    <xf borderId="12" fillId="3" fontId="26" numFmtId="0" xfId="0" applyBorder="1" applyFont="1"/>
    <xf borderId="0" fillId="0" fontId="5" numFmtId="0" xfId="0" applyAlignment="1" applyFont="1">
      <alignment readingOrder="0"/>
    </xf>
    <xf borderId="0" fillId="4" fontId="6" numFmtId="0" xfId="0" applyAlignment="1" applyFont="1">
      <alignment readingOrder="0" vertical="center"/>
    </xf>
    <xf borderId="12" fillId="5" fontId="22" numFmtId="0" xfId="0" applyAlignment="1" applyBorder="1" applyFont="1">
      <alignment horizontal="center" readingOrder="0"/>
    </xf>
    <xf borderId="18" fillId="3" fontId="27" numFmtId="164" xfId="0" applyBorder="1" applyFont="1" applyNumberFormat="1"/>
    <xf borderId="19" fillId="0" fontId="2" numFmtId="0" xfId="0" applyBorder="1" applyFont="1"/>
    <xf borderId="20" fillId="0" fontId="2" numFmtId="0" xfId="0" applyBorder="1" applyFont="1"/>
    <xf borderId="12" fillId="3" fontId="21" numFmtId="0" xfId="0" applyAlignment="1" applyBorder="1" applyFont="1">
      <alignment horizontal="left" readingOrder="0"/>
    </xf>
    <xf borderId="12" fillId="3" fontId="26" numFmtId="0" xfId="0" applyAlignment="1" applyBorder="1" applyFont="1">
      <alignment horizontal="right" readingOrder="0"/>
    </xf>
    <xf borderId="0" fillId="0" fontId="22" numFmtId="0" xfId="0" applyAlignment="1" applyFont="1">
      <alignment readingOrder="0"/>
    </xf>
    <xf borderId="18" fillId="4" fontId="5" numFmtId="0" xfId="0" applyAlignment="1" applyBorder="1" applyFont="1">
      <alignment readingOrder="0"/>
    </xf>
    <xf borderId="18" fillId="0" fontId="6" numFmtId="0" xfId="0" applyBorder="1" applyFont="1"/>
    <xf borderId="12" fillId="3" fontId="21" numFmtId="0" xfId="0" applyAlignment="1" applyBorder="1" applyFont="1">
      <alignment horizontal="center" readingOrder="0"/>
    </xf>
    <xf borderId="12" fillId="5" fontId="22" numFmtId="0" xfId="0" applyAlignment="1" applyBorder="1" applyFont="1">
      <alignment readingOrder="0"/>
    </xf>
    <xf borderId="18" fillId="0" fontId="10" numFmtId="0" xfId="0" applyAlignment="1" applyBorder="1" applyFont="1">
      <alignment readingOrder="0"/>
    </xf>
    <xf borderId="21" fillId="4" fontId="28" numFmtId="0" xfId="0" applyBorder="1" applyFont="1"/>
    <xf borderId="22" fillId="9" fontId="2" numFmtId="0" xfId="0" applyBorder="1" applyFill="1" applyFont="1"/>
    <xf borderId="22" fillId="4" fontId="5" numFmtId="0" xfId="0" applyBorder="1" applyFont="1"/>
    <xf borderId="22" fillId="4" fontId="29" numFmtId="0" xfId="0" applyAlignment="1" applyBorder="1" applyFont="1">
      <alignment readingOrder="0"/>
    </xf>
    <xf borderId="22" fillId="10" fontId="2" numFmtId="0" xfId="0" applyBorder="1" applyFill="1" applyFont="1"/>
    <xf borderId="22" fillId="4" fontId="29" numFmtId="0" xfId="0" applyBorder="1" applyFont="1"/>
    <xf borderId="23" fillId="4" fontId="5" numFmtId="0" xfId="0" applyBorder="1" applyFont="1"/>
    <xf borderId="24" fillId="4" fontId="0" numFmtId="0" xfId="0" applyAlignment="1" applyBorder="1" applyFont="1">
      <alignment readingOrder="0"/>
    </xf>
    <xf borderId="0" fillId="4" fontId="17" numFmtId="3" xfId="0" applyFont="1" applyNumberFormat="1"/>
    <xf borderId="0" fillId="4" fontId="5" numFmtId="0" xfId="0" applyAlignment="1" applyFont="1">
      <alignment readingOrder="0"/>
    </xf>
    <xf borderId="25" fillId="4" fontId="5" numFmtId="0" xfId="0" applyBorder="1" applyFont="1"/>
    <xf borderId="24" fillId="4" fontId="5" numFmtId="0" xfId="0" applyBorder="1" applyFont="1"/>
    <xf borderId="0" fillId="4" fontId="13" numFmtId="0" xfId="0" applyFont="1"/>
    <xf borderId="0" fillId="4" fontId="17" numFmtId="0" xfId="0" applyFont="1"/>
    <xf borderId="26" fillId="4" fontId="5" numFmtId="0" xfId="0" applyBorder="1" applyFont="1"/>
    <xf borderId="27" fillId="4" fontId="13" numFmtId="3" xfId="0" applyBorder="1" applyFont="1" applyNumberFormat="1"/>
    <xf borderId="27" fillId="4" fontId="5" numFmtId="0" xfId="0" applyBorder="1" applyFont="1"/>
    <xf borderId="28" fillId="4" fontId="5" numFmtId="0" xfId="0" applyBorder="1" applyFont="1"/>
    <xf borderId="12" fillId="5" fontId="5" numFmtId="164" xfId="0" applyBorder="1" applyFont="1" applyNumberFormat="1"/>
    <xf borderId="0" fillId="0" fontId="5" numFmtId="0" xfId="0" applyFont="1"/>
    <xf borderId="12" fillId="2" fontId="30" numFmtId="0" xfId="0" applyAlignment="1" applyBorder="1" applyFont="1">
      <alignment readingOrder="0"/>
    </xf>
    <xf borderId="12" fillId="5" fontId="6" numFmtId="166" xfId="0" applyAlignment="1" applyBorder="1" applyFont="1" applyNumberFormat="1">
      <alignment horizontal="left" readingOrder="0"/>
    </xf>
    <xf borderId="12" fillId="3" fontId="31" numFmtId="3" xfId="0" applyBorder="1" applyFont="1" applyNumberFormat="1"/>
    <xf borderId="12" fillId="5" fontId="24" numFmtId="0" xfId="0" applyAlignment="1" applyBorder="1" applyFont="1">
      <alignment horizontal="left" readingOrder="0" vertical="bottom"/>
    </xf>
    <xf borderId="12" fillId="5" fontId="17" numFmtId="0" xfId="0" applyAlignment="1" applyBorder="1" applyFont="1">
      <alignment horizontal="left" readingOrder="0"/>
    </xf>
    <xf borderId="18" fillId="5" fontId="14" numFmtId="164" xfId="0" applyBorder="1" applyFont="1" applyNumberFormat="1"/>
    <xf borderId="18" fillId="5" fontId="5" numFmtId="0" xfId="0" applyAlignment="1" applyBorder="1" applyFont="1">
      <alignment readingOrder="0"/>
    </xf>
    <xf borderId="0" fillId="4" fontId="5" numFmtId="167" xfId="0" applyAlignment="1" applyFont="1" applyNumberFormat="1">
      <alignment readingOrder="0"/>
    </xf>
    <xf borderId="0" fillId="4" fontId="5" numFmtId="167" xfId="0" applyFont="1" applyNumberFormat="1"/>
    <xf borderId="0" fillId="0" fontId="17" numFmtId="0" xfId="0" applyAlignment="1" applyFont="1">
      <alignment horizontal="center" readingOrder="0"/>
    </xf>
    <xf borderId="12" fillId="0" fontId="32" numFmtId="0" xfId="0" applyAlignment="1" applyBorder="1" applyFont="1">
      <alignment horizontal="center"/>
    </xf>
    <xf borderId="29" fillId="10" fontId="33" numFmtId="164" xfId="0" applyAlignment="1" applyBorder="1" applyFont="1" applyNumberFormat="1">
      <alignment horizontal="center"/>
    </xf>
    <xf borderId="29" fillId="11" fontId="33" numFmtId="164" xfId="0" applyAlignment="1" applyBorder="1" applyFill="1" applyFont="1" applyNumberFormat="1">
      <alignment horizontal="center"/>
    </xf>
    <xf borderId="0" fillId="0" fontId="34" numFmtId="0" xfId="0" applyAlignment="1" applyFont="1">
      <alignment horizontal="center" readingOrder="0"/>
    </xf>
    <xf borderId="30" fillId="2" fontId="35" numFmtId="0" xfId="0" applyAlignment="1" applyBorder="1" applyFont="1">
      <alignment vertical="bottom"/>
    </xf>
    <xf borderId="30" fillId="2" fontId="35" numFmtId="3" xfId="0" applyAlignment="1" applyBorder="1" applyFont="1" applyNumberFormat="1">
      <alignment vertical="bottom"/>
    </xf>
    <xf borderId="30" fillId="2" fontId="35" numFmtId="9" xfId="0" applyAlignment="1" applyBorder="1" applyFont="1" applyNumberFormat="1">
      <alignment vertical="bottom"/>
    </xf>
    <xf borderId="30" fillId="2" fontId="35" numFmtId="3" xfId="0" applyAlignment="1" applyBorder="1" applyFont="1" applyNumberFormat="1">
      <alignment readingOrder="0" vertical="bottom"/>
    </xf>
    <xf borderId="30" fillId="2" fontId="36" numFmtId="0" xfId="0" applyAlignment="1" applyBorder="1" applyFont="1">
      <alignment readingOrder="0"/>
    </xf>
    <xf borderId="30" fillId="12" fontId="37" numFmtId="0" xfId="0" applyAlignment="1" applyBorder="1" applyFill="1" applyFont="1">
      <alignment vertical="bottom"/>
    </xf>
    <xf borderId="30" fillId="12" fontId="37" numFmtId="3" xfId="0" applyAlignment="1" applyBorder="1" applyFont="1" applyNumberFormat="1">
      <alignment horizontal="right" vertical="bottom"/>
    </xf>
    <xf borderId="30" fillId="12" fontId="37" numFmtId="9" xfId="0" applyAlignment="1" applyBorder="1" applyFont="1" applyNumberFormat="1">
      <alignment horizontal="right" vertical="bottom"/>
    </xf>
    <xf borderId="0" fillId="6" fontId="38" numFmtId="0" xfId="0" applyAlignment="1" applyFont="1">
      <alignment horizontal="center" readingOrder="0" vertical="bottom"/>
    </xf>
    <xf borderId="30" fillId="12" fontId="39" numFmtId="3" xfId="0" applyAlignment="1" applyBorder="1" applyFont="1" applyNumberFormat="1">
      <alignment horizontal="right" readingOrder="0" vertical="bottom"/>
    </xf>
    <xf borderId="30" fillId="12" fontId="31" numFmtId="3" xfId="0" applyBorder="1" applyFont="1" applyNumberFormat="1"/>
    <xf borderId="30" fillId="12" fontId="39" numFmtId="3" xfId="0" applyAlignment="1" applyBorder="1" applyFont="1" applyNumberFormat="1">
      <alignment horizontal="right" vertical="bottom"/>
    </xf>
    <xf borderId="30" fillId="12" fontId="31" numFmtId="3" xfId="0" applyAlignment="1" applyBorder="1" applyFont="1" applyNumberFormat="1">
      <alignment horizontal="right" readingOrder="0"/>
    </xf>
    <xf borderId="30" fillId="10" fontId="17" numFmtId="0" xfId="0" applyAlignment="1" applyBorder="1" applyFont="1">
      <alignment readingOrder="0"/>
    </xf>
    <xf borderId="30" fillId="10" fontId="17" numFmtId="3" xfId="0" applyBorder="1" applyFont="1" applyNumberFormat="1"/>
    <xf borderId="30" fillId="10" fontId="40" numFmtId="9" xfId="0" applyAlignment="1" applyBorder="1" applyFont="1" applyNumberFormat="1">
      <alignment horizontal="right" vertical="bottom"/>
    </xf>
    <xf borderId="0" fillId="13" fontId="5" numFmtId="0" xfId="0" applyFill="1" applyFont="1"/>
    <xf borderId="0" fillId="13" fontId="24" numFmtId="0" xfId="0" applyAlignment="1" applyFont="1">
      <alignment horizontal="right" vertical="bottom"/>
    </xf>
    <xf borderId="0" fillId="4" fontId="34" numFmtId="0" xfId="0" applyAlignment="1" applyFont="1">
      <alignment horizontal="center" readingOrder="0"/>
    </xf>
    <xf borderId="30" fillId="2" fontId="35" numFmtId="0" xfId="0" applyAlignment="1" applyBorder="1" applyFont="1">
      <alignment horizontal="left" vertical="bottom"/>
    </xf>
    <xf borderId="30" fillId="2" fontId="35" numFmtId="3" xfId="0" applyAlignment="1" applyBorder="1" applyFont="1" applyNumberFormat="1">
      <alignment horizontal="left" vertical="bottom"/>
    </xf>
    <xf borderId="0" fillId="6" fontId="5" numFmtId="0" xfId="0" applyFont="1"/>
    <xf borderId="0" fillId="0" fontId="41" numFmtId="0" xfId="0" applyAlignment="1" applyFont="1">
      <alignment vertical="bottom"/>
    </xf>
    <xf borderId="31" fillId="5" fontId="42" numFmtId="0" xfId="0" applyAlignment="1" applyBorder="1" applyFont="1">
      <alignment horizontal="center" readingOrder="0" vertical="bottom"/>
    </xf>
    <xf borderId="32" fillId="0" fontId="2" numFmtId="0" xfId="0" applyBorder="1" applyFont="1"/>
    <xf borderId="33" fillId="2" fontId="35" numFmtId="3" xfId="0" applyAlignment="1" applyBorder="1" applyFont="1" applyNumberFormat="1">
      <alignment vertical="bottom"/>
    </xf>
    <xf borderId="0" fillId="0" fontId="5" numFmtId="3" xfId="0" applyAlignment="1" applyFont="1" applyNumberFormat="1">
      <alignment readingOrder="0"/>
    </xf>
    <xf borderId="34" fillId="12" fontId="37" numFmtId="3" xfId="0" applyAlignment="1" applyBorder="1" applyFont="1" applyNumberFormat="1">
      <alignment horizontal="right" vertical="bottom"/>
    </xf>
    <xf borderId="30" fillId="12" fontId="41" numFmtId="0" xfId="0" applyAlignment="1" applyBorder="1" applyFont="1">
      <alignment vertical="bottom"/>
    </xf>
    <xf borderId="34" fillId="12" fontId="40" numFmtId="3" xfId="0" applyAlignment="1" applyBorder="1" applyFont="1" applyNumberFormat="1">
      <alignment horizontal="right" vertical="bottom"/>
    </xf>
    <xf borderId="35" fillId="12" fontId="41" numFmtId="3" xfId="0" applyAlignment="1" applyBorder="1" applyFont="1" applyNumberFormat="1">
      <alignment vertical="bottom"/>
    </xf>
    <xf borderId="0" fillId="6" fontId="34" numFmtId="0" xfId="0" applyAlignment="1" applyFont="1">
      <alignment horizontal="center" readingOrder="0"/>
    </xf>
    <xf borderId="0" fillId="6" fontId="35" numFmtId="3" xfId="0" applyAlignment="1" applyFont="1" applyNumberFormat="1">
      <alignment readingOrder="0" vertical="bottom"/>
    </xf>
    <xf borderId="0" fillId="6" fontId="37" numFmtId="3" xfId="0" applyAlignment="1" applyFont="1" applyNumberFormat="1">
      <alignment horizontal="right" vertical="bottom"/>
    </xf>
    <xf borderId="30" fillId="10" fontId="40" numFmtId="0" xfId="0" applyAlignment="1" applyBorder="1" applyFont="1">
      <alignment readingOrder="0" vertical="bottom"/>
    </xf>
    <xf borderId="0" fillId="6" fontId="32" numFmtId="3" xfId="0" applyFont="1" applyNumberFormat="1"/>
    <xf borderId="0" fillId="6" fontId="24" numFmtId="0" xfId="0" applyAlignment="1" applyFont="1">
      <alignment horizontal="left" readingOrder="0" vertical="bottom"/>
    </xf>
    <xf borderId="0" fillId="6" fontId="37" numFmtId="0" xfId="0" applyAlignment="1" applyFont="1">
      <alignment vertical="bottom"/>
    </xf>
    <xf borderId="0" fillId="6" fontId="17" numFmtId="0" xfId="0" applyAlignment="1" applyFont="1">
      <alignment readingOrder="0"/>
    </xf>
    <xf borderId="0" fillId="6" fontId="17" numFmtId="0" xfId="0" applyFont="1"/>
    <xf borderId="12" fillId="5" fontId="43" numFmtId="0" xfId="0" applyAlignment="1" applyBorder="1" applyFont="1">
      <alignment readingOrder="0"/>
    </xf>
    <xf borderId="12" fillId="14" fontId="15" numFmtId="165" xfId="0" applyAlignment="1" applyBorder="1" applyFill="1" applyFont="1" applyNumberFormat="1">
      <alignment horizontal="center" shrinkToFit="0" vertical="center" wrapText="0"/>
    </xf>
    <xf borderId="36" fillId="14" fontId="5" numFmtId="0" xfId="0" applyAlignment="1" applyBorder="1" applyFont="1">
      <alignment horizontal="left" readingOrder="0" shrinkToFit="0" vertical="center" wrapText="0"/>
    </xf>
    <xf borderId="36" fillId="14" fontId="5" numFmtId="0" xfId="0" applyAlignment="1" applyBorder="1" applyFont="1">
      <alignment horizontal="left" readingOrder="0" shrinkToFit="0" vertical="center" wrapText="0"/>
    </xf>
    <xf borderId="36" fillId="14" fontId="5" numFmtId="0" xfId="0" applyAlignment="1" applyBorder="1" applyFont="1">
      <alignment horizontal="left" readingOrder="0" shrinkToFit="0" vertical="center" wrapText="0"/>
    </xf>
    <xf borderId="36" fillId="14" fontId="5" numFmtId="49" xfId="0" applyAlignment="1" applyBorder="1" applyFont="1" applyNumberFormat="1">
      <alignment horizontal="left" readingOrder="0" shrinkToFit="0" vertical="center" wrapText="0"/>
    </xf>
    <xf borderId="37" fillId="0" fontId="5" numFmtId="164" xfId="0" applyAlignment="1" applyBorder="1" applyFont="1" applyNumberFormat="1">
      <alignment readingOrder="0" shrinkToFit="0" vertical="center" wrapText="0"/>
    </xf>
    <xf borderId="38" fillId="0" fontId="5" numFmtId="14" xfId="0" applyAlignment="1" applyBorder="1" applyFont="1" applyNumberFormat="1">
      <alignment readingOrder="0" shrinkToFit="0" vertical="center" wrapText="0"/>
    </xf>
    <xf borderId="38" fillId="0" fontId="5" numFmtId="0" xfId="0" applyAlignment="1" applyBorder="1" applyFont="1">
      <alignment shrinkToFit="0" vertical="center" wrapText="0"/>
    </xf>
    <xf borderId="38" fillId="0" fontId="5" numFmtId="0" xfId="0" applyAlignment="1" applyBorder="1" applyFont="1">
      <alignment readingOrder="0" shrinkToFit="0" vertical="center" wrapText="0"/>
    </xf>
    <xf borderId="38" fillId="0" fontId="5" numFmtId="0" xfId="0" applyAlignment="1" applyBorder="1" applyFont="1">
      <alignment readingOrder="0" shrinkToFit="0" vertical="center" wrapText="0"/>
    </xf>
    <xf borderId="39" fillId="0" fontId="5" numFmtId="0" xfId="0" applyAlignment="1" applyBorder="1" applyFont="1">
      <alignment shrinkToFit="0" vertical="center" wrapText="0"/>
    </xf>
    <xf borderId="37" fillId="3" fontId="5" numFmtId="0" xfId="0" applyAlignment="1" applyBorder="1" applyFont="1">
      <alignment shrinkToFit="0" vertical="center" wrapText="0"/>
    </xf>
    <xf borderId="38" fillId="12" fontId="5" numFmtId="168" xfId="0" applyAlignment="1" applyBorder="1" applyFont="1" applyNumberFormat="1">
      <alignment shrinkToFit="0" vertical="center" wrapText="0"/>
    </xf>
    <xf borderId="38" fillId="12" fontId="5" numFmtId="0" xfId="0" applyAlignment="1" applyBorder="1" applyFont="1">
      <alignment shrinkToFit="0" vertical="center" wrapText="0"/>
    </xf>
    <xf borderId="39" fillId="12" fontId="5" numFmtId="0" xfId="0" applyAlignment="1" applyBorder="1" applyFont="1">
      <alignment shrinkToFit="0" vertical="center" wrapText="0"/>
    </xf>
    <xf borderId="40" fillId="3" fontId="5" numFmtId="0" xfId="0" applyAlignment="1" applyBorder="1" applyFont="1">
      <alignment shrinkToFit="0" vertical="center" wrapText="0"/>
    </xf>
    <xf borderId="41" fillId="12" fontId="5" numFmtId="168" xfId="0" applyAlignment="1" applyBorder="1" applyFont="1" applyNumberFormat="1">
      <alignment shrinkToFit="0" vertical="center" wrapText="0"/>
    </xf>
    <xf borderId="41" fillId="12" fontId="5" numFmtId="0" xfId="0" applyAlignment="1" applyBorder="1" applyFont="1">
      <alignment shrinkToFit="0" vertical="center" wrapText="0"/>
    </xf>
    <xf borderId="42" fillId="12" fontId="5" numFmtId="0" xfId="0" applyAlignment="1" applyBorder="1" applyFont="1">
      <alignment shrinkToFit="0" vertical="center" wrapText="0"/>
    </xf>
    <xf borderId="0" fillId="3" fontId="5" numFmtId="0" xfId="0" applyFont="1"/>
    <xf borderId="0" fillId="0" fontId="44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164" xfId="0" applyFont="1" applyNumberFormat="1"/>
    <xf borderId="0" fillId="0" fontId="5" numFmtId="169" xfId="0" applyFont="1" applyNumberFormat="1"/>
    <xf borderId="36" fillId="0" fontId="45" numFmtId="0" xfId="0" applyAlignment="1" applyBorder="1" applyFont="1">
      <alignment horizontal="left" readingOrder="0" shrinkToFit="0" vertical="center" wrapText="0"/>
    </xf>
    <xf borderId="36" fillId="15" fontId="46" numFmtId="169" xfId="0" applyAlignment="1" applyBorder="1" applyFill="1" applyFont="1" applyNumberFormat="1">
      <alignment horizontal="left" readingOrder="0" shrinkToFit="0" vertical="center" wrapText="0"/>
    </xf>
    <xf borderId="36" fillId="15" fontId="46" numFmtId="49" xfId="0" applyAlignment="1" applyBorder="1" applyFont="1" applyNumberFormat="1">
      <alignment horizontal="left" readingOrder="0" shrinkToFit="0" vertical="center" wrapText="0"/>
    </xf>
    <xf borderId="36" fillId="15" fontId="46" numFmtId="0" xfId="0" applyAlignment="1" applyBorder="1" applyFont="1">
      <alignment horizontal="left" readingOrder="0" shrinkToFit="0" vertical="center" wrapText="0"/>
    </xf>
    <xf borderId="36" fillId="15" fontId="46" numFmtId="0" xfId="0" applyAlignment="1" applyBorder="1" applyFont="1">
      <alignment horizontal="left" readingOrder="0" shrinkToFit="0" vertical="center" wrapText="0"/>
    </xf>
    <xf quotePrefix="1" borderId="39" fillId="0" fontId="5" numFmtId="0" xfId="0" applyAlignment="1" applyBorder="1" applyFont="1">
      <alignment readingOrder="0" shrinkToFit="0" vertical="center" wrapText="0"/>
    </xf>
    <xf borderId="30" fillId="0" fontId="5" numFmtId="0" xfId="0" applyAlignment="1" applyBorder="1" applyFont="1">
      <alignment readingOrder="0"/>
    </xf>
    <xf borderId="37" fillId="0" fontId="45" numFmtId="0" xfId="0" applyAlignment="1" applyBorder="1" applyFont="1">
      <alignment readingOrder="0" shrinkToFit="0" vertical="center" wrapText="0"/>
    </xf>
    <xf borderId="38" fillId="4" fontId="46" numFmtId="169" xfId="0" applyAlignment="1" applyBorder="1" applyFont="1" applyNumberFormat="1">
      <alignment readingOrder="0" shrinkToFit="0" vertical="center" wrapText="0"/>
    </xf>
    <xf borderId="38" fillId="4" fontId="46" numFmtId="0" xfId="0" applyAlignment="1" applyBorder="1" applyFont="1">
      <alignment readingOrder="0" shrinkToFit="0" vertical="center" wrapText="0"/>
    </xf>
    <xf borderId="38" fillId="4" fontId="46" numFmtId="0" xfId="0" applyAlignment="1" applyBorder="1" applyFont="1">
      <alignment horizontal="left" readingOrder="0" shrinkToFit="0" vertical="center" wrapText="0"/>
    </xf>
    <xf borderId="39" fillId="4" fontId="46" numFmtId="0" xfId="0" applyAlignment="1" applyBorder="1" applyFont="1">
      <alignment horizontal="left" readingOrder="0" shrinkToFit="0" vertical="center" wrapText="0"/>
    </xf>
    <xf borderId="38" fillId="4" fontId="46" numFmtId="169" xfId="0" applyAlignment="1" applyBorder="1" applyFont="1" applyNumberFormat="1">
      <alignment readingOrder="0" shrinkToFit="0" vertical="center" wrapText="0"/>
    </xf>
    <xf borderId="38" fillId="4" fontId="46" numFmtId="0" xfId="0" applyAlignment="1" applyBorder="1" applyFont="1">
      <alignment readingOrder="0" shrinkToFit="0" vertical="center" wrapText="0"/>
    </xf>
    <xf borderId="38" fillId="4" fontId="46" numFmtId="0" xfId="0" applyAlignment="1" applyBorder="1" applyFont="1">
      <alignment horizontal="left" readingOrder="0" shrinkToFit="0" vertical="center" wrapText="0"/>
    </xf>
    <xf borderId="39" fillId="4" fontId="46" numFmtId="0" xfId="0" applyAlignment="1" applyBorder="1" applyFont="1">
      <alignment horizontal="left" readingOrder="0" shrinkToFit="0" vertical="center" wrapText="0"/>
    </xf>
    <xf borderId="40" fillId="0" fontId="45" numFmtId="0" xfId="0" applyAlignment="1" applyBorder="1" applyFont="1">
      <alignment readingOrder="0" shrinkToFit="0" vertical="center" wrapText="0"/>
    </xf>
    <xf borderId="41" fillId="4" fontId="46" numFmtId="169" xfId="0" applyAlignment="1" applyBorder="1" applyFont="1" applyNumberFormat="1">
      <alignment readingOrder="0" shrinkToFit="0" vertical="center" wrapText="0"/>
    </xf>
    <xf borderId="41" fillId="0" fontId="5" numFmtId="0" xfId="0" applyAlignment="1" applyBorder="1" applyFont="1">
      <alignment shrinkToFit="0" vertical="center" wrapText="0"/>
    </xf>
    <xf borderId="41" fillId="4" fontId="46" numFmtId="0" xfId="0" applyAlignment="1" applyBorder="1" applyFont="1">
      <alignment readingOrder="0" shrinkToFit="0" vertical="center" wrapText="0"/>
    </xf>
    <xf borderId="41" fillId="4" fontId="46" numFmtId="0" xfId="0" applyAlignment="1" applyBorder="1" applyFont="1">
      <alignment horizontal="left" readingOrder="0" shrinkToFit="0" vertical="center" wrapText="0"/>
    </xf>
    <xf borderId="42" fillId="4" fontId="46" numFmtId="0" xfId="0" applyAlignment="1" applyBorder="1" applyFont="1">
      <alignment horizontal="left" readingOrder="0" shrinkToFit="0" vertical="center" wrapText="0"/>
    </xf>
    <xf borderId="43" fillId="0" fontId="5" numFmtId="0" xfId="0" applyAlignment="1" applyBorder="1" applyFont="1">
      <alignment horizontal="left" readingOrder="0" shrinkToFit="0" vertical="center" wrapText="0"/>
    </xf>
    <xf borderId="44" fillId="0" fontId="5" numFmtId="0" xfId="0" applyAlignment="1" applyBorder="1" applyFont="1">
      <alignment horizontal="left" readingOrder="0" shrinkToFit="0" vertical="center" wrapText="0"/>
    </xf>
    <xf borderId="44" fillId="0" fontId="5" numFmtId="0" xfId="0" applyAlignment="1" applyBorder="1" applyFont="1">
      <alignment horizontal="left" readingOrder="0" shrinkToFit="0" vertical="center" wrapText="0"/>
    </xf>
    <xf borderId="45" fillId="0" fontId="5" numFmtId="0" xfId="0" applyAlignment="1" applyBorder="1" applyFont="1">
      <alignment horizontal="left" readingOrder="0" shrinkToFit="0" vertical="center" wrapText="0"/>
    </xf>
    <xf borderId="46" fillId="0" fontId="5" numFmtId="164" xfId="0" applyAlignment="1" applyBorder="1" applyFont="1" applyNumberFormat="1">
      <alignment readingOrder="0" shrinkToFit="0" vertical="center" wrapText="0"/>
    </xf>
    <xf borderId="47" fillId="0" fontId="5" numFmtId="14" xfId="0" applyAlignment="1" applyBorder="1" applyFont="1" applyNumberFormat="1">
      <alignment readingOrder="0" shrinkToFit="0" vertical="center" wrapText="0"/>
    </xf>
    <xf borderId="47" fillId="0" fontId="5" numFmtId="0" xfId="0" applyAlignment="1" applyBorder="1" applyFont="1">
      <alignment readingOrder="0" shrinkToFit="0" vertical="center" wrapText="0"/>
    </xf>
    <xf borderId="47" fillId="0" fontId="5" numFmtId="0" xfId="0" applyAlignment="1" applyBorder="1" applyFont="1">
      <alignment readingOrder="0" shrinkToFit="0" vertical="center" wrapText="0"/>
    </xf>
    <xf borderId="48" fillId="0" fontId="5" numFmtId="0" xfId="0" applyAlignment="1" applyBorder="1" applyFont="1">
      <alignment readingOrder="0" shrinkToFit="0" vertical="center" wrapText="0"/>
    </xf>
    <xf borderId="49" fillId="0" fontId="5" numFmtId="164" xfId="0" applyAlignment="1" applyBorder="1" applyFont="1" applyNumberFormat="1">
      <alignment readingOrder="0" shrinkToFit="0" vertical="center" wrapText="0"/>
    </xf>
    <xf borderId="50" fillId="0" fontId="5" numFmtId="14" xfId="0" applyAlignment="1" applyBorder="1" applyFont="1" applyNumberFormat="1">
      <alignment readingOrder="0" shrinkToFit="0" vertical="center" wrapText="0"/>
    </xf>
    <xf borderId="50" fillId="0" fontId="5" numFmtId="0" xfId="0" applyAlignment="1" applyBorder="1" applyFont="1">
      <alignment readingOrder="0" shrinkToFit="0" vertical="center" wrapText="0"/>
    </xf>
    <xf borderId="50" fillId="0" fontId="5" numFmtId="0" xfId="0" applyAlignment="1" applyBorder="1" applyFont="1">
      <alignment readingOrder="0" shrinkToFit="0" vertical="center" wrapText="0"/>
    </xf>
    <xf borderId="51" fillId="0" fontId="5" numFmtId="0" xfId="0" applyAlignment="1" applyBorder="1" applyFont="1">
      <alignment readingOrder="0" shrinkToFit="0" vertical="center" wrapText="0"/>
    </xf>
    <xf borderId="7" fillId="3" fontId="4" numFmtId="0" xfId="0" applyAlignment="1" applyBorder="1" applyFont="1">
      <alignment horizontal="center" vertical="center"/>
    </xf>
    <xf borderId="0" fillId="4" fontId="47" numFmtId="0" xfId="0" applyAlignment="1" applyFont="1">
      <alignment horizontal="left" readingOrder="0" vertical="center"/>
    </xf>
    <xf borderId="0" fillId="4" fontId="7" numFmtId="0" xfId="0" applyAlignment="1" applyFont="1">
      <alignment horizontal="center" readingOrder="0" vertical="center"/>
    </xf>
    <xf borderId="52" fillId="0" fontId="13" numFmtId="0" xfId="0" applyAlignment="1" applyBorder="1" applyFont="1">
      <alignment readingOrder="0"/>
    </xf>
    <xf borderId="53" fillId="0" fontId="2" numFmtId="0" xfId="0" applyBorder="1" applyFont="1"/>
    <xf borderId="52" fillId="0" fontId="5" numFmtId="0" xfId="0" applyBorder="1" applyFont="1"/>
    <xf borderId="54" fillId="0" fontId="2" numFmtId="0" xfId="0" applyBorder="1" applyFont="1"/>
    <xf borderId="12" fillId="5" fontId="10" numFmtId="0" xfId="0" applyAlignment="1" applyBorder="1" applyFont="1">
      <alignment readingOrder="0"/>
    </xf>
    <xf borderId="14" fillId="2" fontId="8" numFmtId="0" xfId="0" applyAlignment="1" applyBorder="1" applyFont="1">
      <alignment readingOrder="0"/>
    </xf>
    <xf borderId="0" fillId="4" fontId="48" numFmtId="0" xfId="0" applyAlignment="1" applyFont="1">
      <alignment horizontal="center" readingOrder="0" vertical="center"/>
    </xf>
    <xf borderId="12" fillId="14" fontId="49" numFmtId="165" xfId="0" applyAlignment="1" applyBorder="1" applyFont="1" applyNumberFormat="1">
      <alignment horizontal="center" shrinkToFit="0" vertical="center" wrapText="0"/>
    </xf>
    <xf borderId="9" fillId="3" fontId="50" numFmtId="3" xfId="0" applyAlignment="1" applyBorder="1" applyFont="1" applyNumberFormat="1">
      <alignment horizontal="right" vertical="bottom"/>
    </xf>
    <xf borderId="55" fillId="0" fontId="5" numFmtId="0" xfId="0" applyAlignment="1" applyBorder="1" applyFont="1">
      <alignment readingOrder="0"/>
    </xf>
    <xf borderId="56" fillId="0" fontId="2" numFmtId="0" xfId="0" applyBorder="1" applyFont="1"/>
    <xf borderId="57" fillId="0" fontId="2" numFmtId="0" xfId="0" applyBorder="1" applyFont="1"/>
    <xf borderId="55" fillId="0" fontId="5" numFmtId="0" xfId="0" applyBorder="1" applyFont="1"/>
    <xf borderId="12" fillId="5" fontId="11" numFmtId="0" xfId="0" applyAlignment="1" applyBorder="1" applyFont="1">
      <alignment vertical="bottom"/>
    </xf>
    <xf borderId="12" fillId="3" fontId="50" numFmtId="3" xfId="0" applyAlignment="1" applyBorder="1" applyFont="1" applyNumberFormat="1">
      <alignment horizontal="right" vertical="bottom"/>
    </xf>
    <xf borderId="0" fillId="0" fontId="17" numFmtId="0" xfId="0" applyAlignment="1" applyFont="1">
      <alignment readingOrder="0"/>
    </xf>
    <xf borderId="12" fillId="5" fontId="16" numFmtId="0" xfId="0" applyAlignment="1" applyBorder="1" applyFont="1">
      <alignment readingOrder="0" vertical="center"/>
    </xf>
    <xf borderId="58" fillId="4" fontId="13" numFmtId="0" xfId="0" applyAlignment="1" applyBorder="1" applyFont="1">
      <alignment horizontal="left" readingOrder="0"/>
    </xf>
    <xf borderId="59" fillId="0" fontId="2" numFmtId="0" xfId="0" applyBorder="1" applyFont="1"/>
    <xf borderId="60" fillId="0" fontId="2" numFmtId="0" xfId="0" applyBorder="1" applyFont="1"/>
    <xf borderId="0" fillId="4" fontId="51" numFmtId="0" xfId="0" applyAlignment="1" applyFont="1">
      <alignment horizontal="left" readingOrder="0" vertical="center"/>
    </xf>
    <xf borderId="12" fillId="2" fontId="23" numFmtId="0" xfId="0" applyAlignment="1" applyBorder="1" applyFont="1">
      <alignment readingOrder="0"/>
    </xf>
    <xf borderId="13" fillId="2" fontId="23" numFmtId="0" xfId="0" applyAlignment="1" applyBorder="1" applyFont="1">
      <alignment horizontal="center" readingOrder="0"/>
    </xf>
    <xf borderId="9" fillId="5" fontId="21" numFmtId="0" xfId="0" applyAlignment="1" applyBorder="1" applyFont="1">
      <alignment readingOrder="0"/>
    </xf>
    <xf borderId="9" fillId="3" fontId="31" numFmtId="0" xfId="0" applyAlignment="1" applyBorder="1" applyFont="1">
      <alignment readingOrder="0"/>
    </xf>
    <xf borderId="10" fillId="3" fontId="31" numFmtId="0" xfId="0" applyBorder="1" applyFont="1"/>
    <xf borderId="61" fillId="4" fontId="6" numFmtId="0" xfId="0" applyAlignment="1" applyBorder="1" applyFont="1">
      <alignment readingOrder="0" vertical="center"/>
    </xf>
    <xf borderId="62" fillId="0" fontId="2" numFmtId="0" xfId="0" applyBorder="1" applyFont="1"/>
    <xf borderId="63" fillId="0" fontId="2" numFmtId="0" xfId="0" applyBorder="1" applyFont="1"/>
    <xf borderId="12" fillId="3" fontId="31" numFmtId="0" xfId="0" applyBorder="1" applyFont="1"/>
    <xf borderId="13" fillId="3" fontId="21" numFmtId="0" xfId="0" applyBorder="1" applyFont="1"/>
    <xf borderId="12" fillId="5" fontId="21" numFmtId="0" xfId="0" applyAlignment="1" applyBorder="1" applyFont="1">
      <alignment horizontal="left" readingOrder="0"/>
    </xf>
    <xf borderId="12" fillId="3" fontId="22" numFmtId="0" xfId="0" applyAlignment="1" applyBorder="1" applyFont="1">
      <alignment horizontal="center" readingOrder="0"/>
    </xf>
    <xf borderId="13" fillId="3" fontId="22" numFmtId="0" xfId="0" applyAlignment="1" applyBorder="1" applyFont="1">
      <alignment horizontal="center" readingOrder="0"/>
    </xf>
    <xf borderId="12" fillId="5" fontId="17" numFmtId="0" xfId="0" applyAlignment="1" applyBorder="1" applyFont="1">
      <alignment readingOrder="0"/>
    </xf>
    <xf borderId="0" fillId="4" fontId="21" numFmtId="0" xfId="0" applyAlignment="1" applyFont="1">
      <alignment horizontal="left" readingOrder="0"/>
    </xf>
    <xf borderId="0" fillId="4" fontId="21" numFmtId="0" xfId="0" applyAlignment="1" applyFont="1">
      <alignment horizontal="center" readingOrder="0"/>
    </xf>
    <xf borderId="36" fillId="0" fontId="5" numFmtId="0" xfId="0" applyAlignment="1" applyBorder="1" applyFont="1">
      <alignment horizontal="left" readingOrder="0" shrinkToFit="0" vertical="center" wrapText="0"/>
    </xf>
    <xf borderId="36" fillId="15" fontId="46" numFmtId="0" xfId="0" applyAlignment="1" applyBorder="1" applyFont="1">
      <alignment horizontal="left" readingOrder="0" shrinkToFit="0" vertical="center" wrapText="0"/>
    </xf>
    <xf borderId="36" fillId="15" fontId="46" numFmtId="0" xfId="0" applyAlignment="1" applyBorder="1" applyFont="1">
      <alignment horizontal="left" readingOrder="0" shrinkToFit="0" vertical="center" wrapText="0"/>
    </xf>
    <xf borderId="39" fillId="0" fontId="5" numFmtId="0" xfId="0" applyAlignment="1" applyBorder="1" applyFont="1">
      <alignment shrinkToFit="0" vertical="center" wrapText="0"/>
    </xf>
    <xf borderId="40" fillId="0" fontId="5" numFmtId="164" xfId="0" applyAlignment="1" applyBorder="1" applyFont="1" applyNumberFormat="1">
      <alignment readingOrder="0" shrinkToFit="0" vertical="center" wrapText="0"/>
    </xf>
    <xf borderId="41" fillId="0" fontId="5" numFmtId="14" xfId="0" applyAlignment="1" applyBorder="1" applyFont="1" applyNumberFormat="1">
      <alignment readingOrder="0" shrinkToFit="0" vertical="center" wrapText="0"/>
    </xf>
    <xf borderId="41" fillId="0" fontId="5" numFmtId="0" xfId="0" applyAlignment="1" applyBorder="1" applyFont="1">
      <alignment readingOrder="0" shrinkToFit="0" vertical="center" wrapText="0"/>
    </xf>
    <xf borderId="42" fillId="0" fontId="5" numFmtId="0" xfId="0" applyAlignment="1" applyBorder="1" applyFont="1">
      <alignment shrinkToFit="0" vertical="center" wrapText="0"/>
    </xf>
    <xf borderId="0" fillId="0" fontId="41" numFmtId="168" xfId="0" applyAlignment="1" applyFont="1" applyNumberFormat="1">
      <alignment horizontal="right" readingOrder="0" vertical="bottom"/>
    </xf>
    <xf borderId="0" fillId="0" fontId="41" numFmtId="170" xfId="0" applyAlignment="1" applyFont="1" applyNumberFormat="1">
      <alignment horizontal="right" vertical="bottom"/>
    </xf>
    <xf borderId="0" fillId="0" fontId="41" numFmtId="3" xfId="0" applyAlignment="1" applyFont="1" applyNumberFormat="1">
      <alignment horizontal="right" vertical="bottom"/>
    </xf>
    <xf borderId="45" fillId="0" fontId="5" numFmtId="0" xfId="0" applyAlignment="1" applyBorder="1" applyFont="1">
      <alignment horizontal="left" readingOrder="0" shrinkToFit="0" vertical="center" wrapText="0"/>
    </xf>
    <xf borderId="46" fillId="0" fontId="5" numFmtId="0" xfId="0" applyAlignment="1" applyBorder="1" applyFont="1">
      <alignment shrinkToFit="0" vertical="center" wrapText="0"/>
    </xf>
    <xf borderId="47" fillId="0" fontId="5" numFmtId="0" xfId="0" applyAlignment="1" applyBorder="1" applyFont="1">
      <alignment shrinkToFit="0" vertical="center" wrapText="0"/>
    </xf>
    <xf borderId="64" fillId="12" fontId="5" numFmtId="0" xfId="0" applyAlignment="1" applyBorder="1" applyFont="1">
      <alignment shrinkToFit="0" vertical="center" wrapText="0"/>
    </xf>
    <xf borderId="65" fillId="0" fontId="5" numFmtId="0" xfId="0" applyAlignment="1" applyBorder="1" applyFont="1">
      <alignment shrinkToFit="0" vertical="center" wrapText="0"/>
    </xf>
    <xf borderId="66" fillId="0" fontId="5" numFmtId="0" xfId="0" applyAlignment="1" applyBorder="1" applyFont="1">
      <alignment shrinkToFit="0" vertical="center" wrapText="0"/>
    </xf>
    <xf borderId="67" fillId="0" fontId="5" numFmtId="0" xfId="0" applyAlignment="1" applyBorder="1" applyFont="1">
      <alignment shrinkToFit="0" vertical="center" wrapText="0"/>
    </xf>
    <xf borderId="68" fillId="0" fontId="5" numFmtId="0" xfId="0" applyAlignment="1" applyBorder="1" applyFont="1">
      <alignment shrinkToFit="0" vertical="center" wrapText="0"/>
    </xf>
    <xf borderId="69" fillId="12" fontId="5" numFmtId="0" xfId="0" applyAlignment="1" applyBorder="1" applyFont="1">
      <alignment shrinkToFit="0" vertical="center" wrapText="0"/>
    </xf>
    <xf borderId="70" fillId="0" fontId="5" numFmtId="0" xfId="0" applyAlignment="1" applyBorder="1" applyFont="1">
      <alignment horizontal="left" readingOrder="0" shrinkToFit="0" vertical="center" wrapText="0"/>
    </xf>
    <xf borderId="71" fillId="0" fontId="5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10"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6AA84F"/>
      </font>
      <fill>
        <patternFill patternType="solid">
          <fgColor rgb="FFD9EAD3"/>
          <bgColor rgb="FFD9EAD3"/>
        </patternFill>
      </fill>
      <border/>
    </dxf>
    <dxf>
      <font>
        <color rgb="FFCC0000"/>
      </font>
      <fill>
        <patternFill patternType="solid">
          <fgColor rgb="FFEDCD44"/>
          <bgColor rgb="FFEDCD4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BFFFC"/>
          <bgColor rgb="FFFBFFFC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6">
    <tableStyle count="3" pivot="0" name="TSM-style">
      <tableStyleElement dxfId="4" type="headerRow"/>
      <tableStyleElement dxfId="5" type="firstRowStripe"/>
      <tableStyleElement dxfId="5" type="secondRowStripe"/>
    </tableStyle>
    <tableStyle count="3" pivot="0" name="Sales-style">
      <tableStyleElement dxfId="4" type="headerRow"/>
      <tableStyleElement dxfId="5" type="firstRowStripe"/>
      <tableStyleElement dxfId="6" type="secondRowStripe"/>
    </tableStyle>
    <tableStyle count="3" pivot="0" name="Handover Note-style">
      <tableStyleElement dxfId="4" type="headerRow"/>
      <tableStyleElement dxfId="5" type="firstRowStripe"/>
      <tableStyleElement dxfId="7" type="secondRowStripe"/>
    </tableStyle>
    <tableStyle count="3" pivot="0" name="data-style">
      <tableStyleElement dxfId="4" type="headerRow"/>
      <tableStyleElement dxfId="5" type="firstRowStripe"/>
      <tableStyleElement dxfId="7" type="secondRowStripe"/>
    </tableStyle>
    <tableStyle count="3" pivot="0" name="T-03 Activities-style">
      <tableStyleElement dxfId="4" type="headerRow"/>
      <tableStyleElement dxfId="5" type="firstRowStripe"/>
      <tableStyleElement dxfId="7" type="secondRowStripe"/>
    </tableStyle>
    <tableStyle count="3" pivot="0" name="Form responses 7-style">
      <tableStyleElement dxfId="9" type="headerRow"/>
      <tableStyleElement dxfId="5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StockOverview!$B$4</c:f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StockOverview!$A$5:$A$7</c:f>
            </c:strRef>
          </c:cat>
          <c:val>
            <c:numRef>
              <c:f>StockOverview!$B$5:$B$7</c:f>
              <c:numCache/>
            </c:numRef>
          </c:val>
        </c:ser>
        <c:ser>
          <c:idx val="1"/>
          <c:order val="1"/>
          <c:tx>
            <c:strRef>
              <c:f>StockOverview!$D$4</c:f>
            </c:strRef>
          </c:tx>
          <c:spPr>
            <a:solidFill>
              <a:srgbClr val="EDCD4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DCD4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</c:dPt>
          <c:cat>
            <c:strRef>
              <c:f>StockOverview!$A$5:$A$7</c:f>
            </c:strRef>
          </c:cat>
          <c:val>
            <c:numRef>
              <c:f>StockOverview!$D$5:$D$7</c:f>
              <c:numCache/>
            </c:numRef>
          </c:val>
        </c:ser>
        <c:overlap val="100"/>
        <c:axId val="1634833021"/>
        <c:axId val="773975757"/>
      </c:barChart>
      <c:catAx>
        <c:axId val="1634833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543D"/>
                </a:solidFill>
                <a:latin typeface="+mn-lt"/>
              </a:defRPr>
            </a:pPr>
          </a:p>
        </c:txPr>
        <c:crossAx val="773975757"/>
      </c:catAx>
      <c:valAx>
        <c:axId val="773975757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833021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543D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00543D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5FBF7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StockOverview!$B$4</c:f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StockOverview!$A$5:$A$7</c:f>
            </c:strRef>
          </c:cat>
          <c:val>
            <c:numRef>
              <c:f>StockOverview!$B$5:$B$7</c:f>
              <c:numCache/>
            </c:numRef>
          </c:val>
        </c:ser>
        <c:ser>
          <c:idx val="1"/>
          <c:order val="1"/>
          <c:tx>
            <c:strRef>
              <c:f>StockOverview!$D$4</c:f>
            </c:strRef>
          </c:tx>
          <c:spPr>
            <a:solidFill>
              <a:srgbClr val="EDCD4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DCD4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</c:dPt>
          <c:cat>
            <c:strRef>
              <c:f>StockOverview!$A$5:$A$7</c:f>
            </c:strRef>
          </c:cat>
          <c:val>
            <c:numRef>
              <c:f>StockOverview!$D$5:$D$7</c:f>
              <c:numCache/>
            </c:numRef>
          </c:val>
        </c:ser>
        <c:overlap val="100"/>
        <c:axId val="1531920521"/>
        <c:axId val="314129154"/>
      </c:barChart>
      <c:catAx>
        <c:axId val="1531920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543D"/>
                </a:solidFill>
                <a:latin typeface="+mn-lt"/>
              </a:defRPr>
            </a:pPr>
          </a:p>
        </c:txPr>
        <c:crossAx val="314129154"/>
      </c:catAx>
      <c:valAx>
        <c:axId val="31412915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920521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543D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00543D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5FBF7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180975</xdr:rowOff>
    </xdr:from>
    <xdr:ext cx="4200525" cy="1914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180975</xdr:rowOff>
    </xdr:from>
    <xdr:ext cx="4200525" cy="1914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04" displayName="Tank_Activities" name="Tank_Activities" id="1">
  <autoFilter ref="$A$1:$Q$104"/>
  <tableColumns count="17">
    <tableColumn name="Timestamp" id="1"/>
    <tableColumn name="Date" id="2"/>
    <tableColumn name="Month" id="3"/>
    <tableColumn name="Tank ID" id="4"/>
    <tableColumn name="Tank Activity" id="5"/>
    <tableColumn name="Equipment ID" id="6"/>
    <tableColumn name="Meter Reading" id="7"/>
    <tableColumn name="Opening Stock" id="8"/>
    <tableColumn name="Expected Stock" id="9"/>
    <tableColumn name="Closing Stock" id="10"/>
    <tableColumn name="Quantity" id="11"/>
    <tableColumn name="Variance" id="12"/>
    <tableColumn name="Bowser Opening Stock" id="13"/>
    <tableColumn name="Bowser Closing Stock" id="14"/>
    <tableColumn name="Quantity Received" id="15"/>
    <tableColumn name="Operator" id="16"/>
    <tableColumn name="Movement Type" id="17"/>
  </tableColumns>
  <tableStyleInfo name="TSM-style" showColumnStripes="0" showFirstColumn="1" showLastColumn="1" showRowStripes="1"/>
</table>
</file>

<file path=xl/tables/table2.xml><?xml version="1.0" encoding="utf-8"?>
<table xmlns="http://schemas.openxmlformats.org/spreadsheetml/2006/main" ref="A1:J186" displayName="Sales" name="Sales" id="2">
  <autoFilter ref="$A$1:$J$186"/>
  <tableColumns count="10">
    <tableColumn name="Timestamp" id="1"/>
    <tableColumn name="Date" id="2"/>
    <tableColumn name="Month" id="3"/>
    <tableColumn name="Year" id="4"/>
    <tableColumn name="Equipment" id="5"/>
    <tableColumn name="Airline" id="6"/>
    <tableColumn name="Aircraft Category" id="7"/>
    <tableColumn name="Aircraft Number" id="8"/>
    <tableColumn name="Uplift" id="9"/>
    <tableColumn name="ADI Number" id="10"/>
  </tableColumns>
  <tableStyleInfo name="Sales-style" showColumnStripes="0" showFirstColumn="1" showLastColumn="1" showRowStripes="1"/>
</table>
</file>

<file path=xl/tables/table3.xml><?xml version="1.0" encoding="utf-8"?>
<table xmlns="http://schemas.openxmlformats.org/spreadsheetml/2006/main" ref="A1:Q3" displayName="Hand_Over_Note" name="Hand_Over_Note" id="3">
  <tableColumns count="17">
    <tableColumn name="Timestamp" id="1"/>
    <tableColumn name="Date" id="2"/>
    <tableColumn name="Shift" id="3"/>
    <tableColumn name="Tank/Bowser ID" id="4"/>
    <tableColumn name="Opening Stock" id="5"/>
    <tableColumn name="Closing Stock" id="6"/>
    <tableColumn name="Tank/Bowser ID [Row 2]" id="7"/>
    <tableColumn name="Tank/Bowser ID [Row 3]" id="8"/>
    <tableColumn name="Tank/Bowser ID [Row 4]" id="9"/>
    <tableColumn name="Tank/Bowser ID [Row 5]" id="10"/>
    <tableColumn name="Tank/Bowser ID [Row 6]" id="11"/>
    <tableColumn name="Tank/Bowser ID [Row 7]" id="12"/>
    <tableColumn name="Tank/Bowser ID [Row 8]" id="13"/>
    <tableColumn name="Tank/Bowser ID [Row 9]" id="14"/>
    <tableColumn name="Tank/Bowser ID [Row 10]" id="15"/>
    <tableColumn name="Tank/Bowser ID [Row 11]" id="16"/>
    <tableColumn name="Tank/Bowser ID [Row 12]" id="17"/>
  </tableColumns>
  <tableStyleInfo name="Handover Note-style" showColumnStripes="0" showFirstColumn="1" showLastColumn="1" showRowStripes="1"/>
</table>
</file>

<file path=xl/tables/table4.xml><?xml version="1.0" encoding="utf-8"?>
<table xmlns="http://schemas.openxmlformats.org/spreadsheetml/2006/main" ref="A1:N25" displayName="Table1" name="Table1" id="4">
  <tableColumns count="14">
    <tableColumn name="Timestamp" id="1"/>
    <tableColumn name="Date" id="2"/>
    <tableColumn name="Month" id="3"/>
    <tableColumn name="Tank ID" id="4"/>
    <tableColumn name="Tank Activity Description" id="5"/>
    <tableColumn name="Equipment ID" id="6"/>
    <tableColumn name="Meter Reading" id="7"/>
    <tableColumn name="Opening Stock" id="8"/>
    <tableColumn name="Expected Closing Stock" id="9"/>
    <tableColumn name="Closing Stock" id="10"/>
    <tableColumn name="Quantity " id="11"/>
    <tableColumn name="Difference" id="12"/>
    <tableColumn name="Operator" id="13"/>
    <tableColumn name="Movement Type" id="14"/>
  </tableColumns>
  <tableStyleInfo name="data-style" showColumnStripes="0" showFirstColumn="1" showLastColumn="1" showRowStripes="1"/>
</table>
</file>

<file path=xl/tables/table5.xml><?xml version="1.0" encoding="utf-8"?>
<table xmlns="http://schemas.openxmlformats.org/spreadsheetml/2006/main" ref="A1:M30" displayName="Tank_3_Activities" name="Tank_3_Activities" id="5">
  <tableColumns count="13">
    <tableColumn name="Timestamp" id="1"/>
    <tableColumn name="Date" id="2"/>
    <tableColumn name="Month" id="3"/>
    <tableColumn name="Tank Activity Description" id="4"/>
    <tableColumn name="Equipment ID" id="5"/>
    <tableColumn name="Meter Reading" id="6"/>
    <tableColumn name="Opening Stock" id="7"/>
    <tableColumn name="Expected Stock" id="8"/>
    <tableColumn name="Closing Stock" id="9"/>
    <tableColumn name="Quantity" id="10"/>
    <tableColumn name="Difference" id="11"/>
    <tableColumn name="Operator" id="12"/>
    <tableColumn name="Movement Type" id="13"/>
  </tableColumns>
  <tableStyleInfo name="T-03 Activities-style" showColumnStripes="0" showFirstColumn="1" showLastColumn="1" showRowStripes="1"/>
</table>
</file>

<file path=xl/tables/table6.xml><?xml version="1.0" encoding="utf-8"?>
<table xmlns="http://schemas.openxmlformats.org/spreadsheetml/2006/main" headerRowCount="0" ref="A1:B1" displayName="Form_Responses2" name="Form_Responses2" id="6">
  <tableColumns count="2">
    <tableColumn name="Column1" id="1"/>
    <tableColumn name="Column2" id="2"/>
  </tableColumns>
  <tableStyleInfo name="Form responses 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71"/>
    <col customWidth="1" min="2" max="43" width="3.71"/>
    <col customWidth="1" min="44" max="44" width="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</row>
    <row r="2">
      <c r="A2" s="4" t="s">
        <v>1</v>
      </c>
      <c r="B2" s="5"/>
      <c r="C2" s="5"/>
      <c r="D2" s="5"/>
      <c r="E2" s="5"/>
      <c r="F2" s="5"/>
      <c r="G2" s="6"/>
      <c r="H2" s="4" t="s">
        <v>2</v>
      </c>
      <c r="I2" s="5"/>
      <c r="J2" s="5"/>
      <c r="K2" s="5"/>
      <c r="L2" s="5"/>
      <c r="M2" s="6"/>
      <c r="N2" s="4" t="s">
        <v>3</v>
      </c>
      <c r="O2" s="5"/>
      <c r="P2" s="5"/>
      <c r="Q2" s="5"/>
      <c r="R2" s="5"/>
      <c r="S2" s="6"/>
      <c r="T2" s="4"/>
      <c r="U2" s="5"/>
      <c r="V2" s="5"/>
      <c r="W2" s="5"/>
      <c r="X2" s="5"/>
      <c r="Y2" s="6"/>
      <c r="Z2" s="4" t="s">
        <v>4</v>
      </c>
      <c r="AA2" s="5"/>
      <c r="AB2" s="5"/>
      <c r="AC2" s="5"/>
      <c r="AD2" s="5"/>
      <c r="AE2" s="6"/>
      <c r="AF2" s="4" t="str">
        <f>CONCATENATE("VOLUME SOLD:"," ",AL11,","," ",AL9," ","TO"," ",AO11,","," ",AO9)</f>
        <v>VOLUME SOLD: SEP, 1 TO SEP, 16</v>
      </c>
      <c r="AG2" s="5"/>
      <c r="AH2" s="5"/>
      <c r="AI2" s="5"/>
      <c r="AJ2" s="5"/>
      <c r="AK2" s="6"/>
      <c r="AL2" s="4" t="str">
        <f>CONCATENATE(AC7,":"," ",AL11,","," ",AL9," ","TO"," ",AO11,","," ",AO9)</f>
        <v>ETHIOPIAN: SEP, 1 TO SEP, 16</v>
      </c>
      <c r="AM2" s="5"/>
      <c r="AN2" s="5"/>
      <c r="AO2" s="5"/>
      <c r="AP2" s="5"/>
      <c r="AQ2" s="5"/>
      <c r="AR2" s="6"/>
    </row>
    <row r="3">
      <c r="A3" s="7">
        <f>IFERROR(sum(StockOverview!B5:B7),"Check Data")</f>
        <v>268642</v>
      </c>
      <c r="G3" s="8"/>
      <c r="H3" s="7"/>
      <c r="M3" s="8"/>
      <c r="N3" s="7">
        <f>IFERROR(SUM(StockOverview!B12:B19),"")</f>
        <v>277335</v>
      </c>
      <c r="S3" s="8"/>
      <c r="T3" s="7"/>
      <c r="Y3" s="8"/>
      <c r="Z3" s="7">
        <f>SUMIFS(Sales!I:I,Sales!A:A,"&gt;="&amp; AL6, Sales!A:A, "&lt;"&amp; AO6)</f>
        <v>0</v>
      </c>
      <c r="AE3" s="8"/>
      <c r="AF3" s="7">
        <f>IF(OR(AO17="❌ Invalid",AO18="❌Invalid"),"⚠️ Please select valid dates",SUMIFS(Sales!I:I,Sales!A:A, "&gt;=" &amp; AL15,Sales!A:A, "&lt;" &amp; AO15 + 1))</f>
        <v>2148606</v>
      </c>
      <c r="AK3" s="8"/>
      <c r="AL3" s="7">
        <f>IF(OR(AO17="❌ Invalid",AO18="❌Invalid"),"⚠️ Please select valid dates",SUMIFS(Sales!I:I,Sales!A:A, "&gt;=" &amp; AL15,Sales!A:A, "&lt;" &amp; AO15+1,Sales!F:F,AC7))</f>
        <v>792553</v>
      </c>
      <c r="AR3" s="8"/>
    </row>
    <row r="4">
      <c r="A4" s="9"/>
      <c r="B4" s="10"/>
      <c r="C4" s="10"/>
      <c r="D4" s="10"/>
      <c r="E4" s="10"/>
      <c r="F4" s="10"/>
      <c r="G4" s="11"/>
      <c r="H4" s="9"/>
      <c r="I4" s="10"/>
      <c r="J4" s="10"/>
      <c r="K4" s="10"/>
      <c r="L4" s="10"/>
      <c r="M4" s="11"/>
      <c r="N4" s="9"/>
      <c r="O4" s="10"/>
      <c r="P4" s="10"/>
      <c r="Q4" s="10"/>
      <c r="R4" s="10"/>
      <c r="S4" s="11"/>
      <c r="T4" s="9"/>
      <c r="U4" s="10"/>
      <c r="V4" s="10"/>
      <c r="W4" s="10"/>
      <c r="X4" s="10"/>
      <c r="Y4" s="11"/>
      <c r="Z4" s="9"/>
      <c r="AA4" s="10"/>
      <c r="AB4" s="10"/>
      <c r="AC4" s="10"/>
      <c r="AD4" s="10"/>
      <c r="AE4" s="11"/>
      <c r="AF4" s="9"/>
      <c r="AG4" s="10"/>
      <c r="AH4" s="10"/>
      <c r="AI4" s="10"/>
      <c r="AJ4" s="10"/>
      <c r="AK4" s="11"/>
      <c r="AL4" s="9"/>
      <c r="AM4" s="10"/>
      <c r="AN4" s="10"/>
      <c r="AO4" s="10"/>
      <c r="AP4" s="10"/>
      <c r="AQ4" s="10"/>
      <c r="AR4" s="11"/>
    </row>
    <row r="5">
      <c r="A5" s="12"/>
      <c r="B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R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3" t="s">
        <v>5</v>
      </c>
      <c r="AR5" s="12"/>
    </row>
    <row r="6" ht="15.75" customHeight="1">
      <c r="A6" s="12"/>
      <c r="B6" s="14" t="s">
        <v>6</v>
      </c>
      <c r="T6" s="15" t="s">
        <v>7</v>
      </c>
      <c r="U6" s="16"/>
      <c r="V6" s="16"/>
      <c r="W6" s="16"/>
      <c r="X6" s="17" t="s">
        <v>8</v>
      </c>
      <c r="Y6" s="16"/>
      <c r="Z6" s="16"/>
      <c r="AA6" s="18"/>
      <c r="AC6" s="19" t="s">
        <v>9</v>
      </c>
      <c r="AD6" s="5"/>
      <c r="AE6" s="5"/>
      <c r="AF6" s="5"/>
      <c r="AG6" s="5"/>
      <c r="AH6" s="6"/>
      <c r="AK6" s="12"/>
      <c r="AL6" s="20">
        <f>IF(TIMEVALUE(NOW()) &lt; TIME(8,0,0), TODAY()-1+TIME(8,0,0), TODAY()+TIME(8,0,0))</f>
        <v>45921.33333</v>
      </c>
      <c r="AM6" s="16"/>
      <c r="AN6" s="18"/>
      <c r="AO6" s="20">
        <f>AL6+1</f>
        <v>45922.33333</v>
      </c>
      <c r="AP6" s="16"/>
      <c r="AQ6" s="18"/>
      <c r="AR6" s="21"/>
    </row>
    <row r="7" ht="15.75" customHeight="1">
      <c r="A7" s="12"/>
      <c r="T7" s="22" t="s">
        <v>10</v>
      </c>
      <c r="U7" s="10"/>
      <c r="V7" s="23"/>
      <c r="W7" s="24"/>
      <c r="X7" s="25">
        <f>StockOverview!H5+SUMIFS(TSM!K:K,TSM!D:D,T7,TSM!A:A,"&gt;="&amp;AL6,TSM!Q:Q,"Inflow")-SUMIFS(TSM!K:K,TSM!D:D,T7,TSM!A:A,"&gt;="&amp;AL6,TSM!Q:Q,"Outflow")</f>
        <v>0</v>
      </c>
      <c r="Y7" s="23"/>
      <c r="Z7" s="10"/>
      <c r="AA7" s="11"/>
      <c r="AC7" s="26" t="s">
        <v>11</v>
      </c>
      <c r="AD7" s="27"/>
      <c r="AE7" s="27"/>
      <c r="AF7" s="27"/>
      <c r="AG7" s="27"/>
      <c r="AH7" s="28"/>
      <c r="AK7" s="12"/>
      <c r="AL7" s="29" t="s">
        <v>12</v>
      </c>
      <c r="AR7" s="30"/>
    </row>
    <row r="8">
      <c r="A8" s="12"/>
      <c r="B8" s="31"/>
      <c r="C8" s="12"/>
      <c r="D8" s="12"/>
      <c r="E8" s="12"/>
      <c r="F8" s="12"/>
      <c r="G8" s="12"/>
      <c r="H8" s="12"/>
      <c r="I8" s="12"/>
      <c r="J8" s="12"/>
      <c r="O8" s="32"/>
      <c r="R8" s="12"/>
      <c r="T8" s="33" t="s">
        <v>13</v>
      </c>
      <c r="U8" s="16"/>
      <c r="V8" s="34"/>
      <c r="W8" s="35"/>
      <c r="X8" s="36">
        <f>StockOverview!H6+SUMIFS(TSM!K:K,TSM!D:D,T8,TSM!A:A,"&gt;="&amp;AL6,TSM!Q:Q,"Inflow")-SUMIFS(TSM!K:K,TSM!D:D,T8,TSM!A:A,"&gt;="&amp;AL6,TSM!Q:Q,"Outflow")</f>
        <v>0</v>
      </c>
      <c r="Y8" s="34"/>
      <c r="Z8" s="16"/>
      <c r="AA8" s="18"/>
      <c r="AK8" s="12"/>
      <c r="AL8" s="37" t="s">
        <v>14</v>
      </c>
      <c r="AO8" s="37" t="s">
        <v>15</v>
      </c>
      <c r="AR8" s="38"/>
    </row>
    <row r="9">
      <c r="A9" s="12"/>
      <c r="B9" s="31"/>
      <c r="C9" s="12"/>
      <c r="D9" s="12"/>
      <c r="E9" s="12"/>
      <c r="F9" s="12"/>
      <c r="G9" s="12"/>
      <c r="H9" s="12"/>
      <c r="I9" s="12"/>
      <c r="J9" s="12"/>
      <c r="O9" s="32"/>
      <c r="R9" s="12"/>
      <c r="T9" s="33" t="s">
        <v>16</v>
      </c>
      <c r="U9" s="16"/>
      <c r="V9" s="39"/>
      <c r="W9" s="40"/>
      <c r="X9" s="36">
        <f>StockOverview!H7+SUMIFS(TSM!K:K,TSM!D:D,T9,TSM!A:A,"&gt;="&amp;AL6,TSM!Q:Q,"Inflow")-SUMIFS(TSM!K:K,TSM!D:D,T9,TSM!A:A,"&gt;="&amp;AL6,TSM!Q:Q,"Outflow")</f>
        <v>268642</v>
      </c>
      <c r="Y9" s="39"/>
      <c r="Z9" s="16"/>
      <c r="AA9" s="18"/>
      <c r="AC9" s="41" t="s">
        <v>17</v>
      </c>
      <c r="AD9" s="16"/>
      <c r="AE9" s="16"/>
      <c r="AF9" s="16"/>
      <c r="AG9" s="42" t="s">
        <v>8</v>
      </c>
      <c r="AH9" s="16"/>
      <c r="AI9" s="16"/>
      <c r="AJ9" s="18"/>
      <c r="AL9" s="43">
        <v>1.0</v>
      </c>
      <c r="AM9" s="16"/>
      <c r="AN9" s="18"/>
      <c r="AO9" s="43">
        <v>16.0</v>
      </c>
      <c r="AP9" s="16"/>
      <c r="AQ9" s="18"/>
    </row>
    <row r="10">
      <c r="A10" s="12"/>
      <c r="B10" s="31"/>
      <c r="C10" s="12"/>
      <c r="E10" s="12"/>
      <c r="F10" s="12"/>
      <c r="G10" s="12"/>
      <c r="H10" s="12"/>
      <c r="I10" s="12"/>
      <c r="J10" s="12"/>
      <c r="O10" s="44"/>
      <c r="R10" s="12"/>
      <c r="U10" s="12"/>
      <c r="V10" s="12"/>
      <c r="W10" s="12"/>
      <c r="X10" s="12"/>
      <c r="Y10" s="12"/>
      <c r="Z10" s="12"/>
      <c r="AC10" s="45" t="s">
        <v>18</v>
      </c>
      <c r="AD10" s="16"/>
      <c r="AE10" s="16"/>
      <c r="AF10" s="18"/>
      <c r="AG10" s="46" t="str">
        <f>VLOOKUP(AC10,StockOverview!A11:B11,2,false)</f>
        <v>#N/A</v>
      </c>
      <c r="AH10" s="16"/>
      <c r="AI10" s="16"/>
      <c r="AJ10" s="18"/>
      <c r="AK10" s="12"/>
      <c r="AL10" s="47" t="s">
        <v>19</v>
      </c>
      <c r="AO10" s="47" t="s">
        <v>20</v>
      </c>
      <c r="AR10" s="48"/>
    </row>
    <row r="11">
      <c r="A11" s="12"/>
      <c r="B11" s="3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R11" s="12"/>
      <c r="T11" s="49" t="s">
        <v>21</v>
      </c>
      <c r="U11" s="16"/>
      <c r="V11" s="16"/>
      <c r="W11" s="16"/>
      <c r="X11" s="16"/>
      <c r="Y11" s="16"/>
      <c r="Z11" s="16"/>
      <c r="AA11" s="18"/>
      <c r="AC11" s="45" t="s">
        <v>22</v>
      </c>
      <c r="AD11" s="16"/>
      <c r="AE11" s="16"/>
      <c r="AF11" s="18"/>
      <c r="AG11" s="50">
        <f>VLOOKUP(AC11,StockOverview!A12:B20,2,false)</f>
        <v>35161</v>
      </c>
      <c r="AH11" s="16"/>
      <c r="AI11" s="16"/>
      <c r="AJ11" s="18"/>
      <c r="AK11" s="12"/>
      <c r="AL11" s="51" t="s">
        <v>23</v>
      </c>
      <c r="AM11" s="16"/>
      <c r="AN11" s="18"/>
      <c r="AO11" s="51" t="s">
        <v>23</v>
      </c>
      <c r="AP11" s="16"/>
      <c r="AQ11" s="18"/>
      <c r="AR11" s="52"/>
    </row>
    <row r="12">
      <c r="A12" s="12"/>
      <c r="B12" s="31"/>
      <c r="C12" s="12"/>
      <c r="D12" s="12"/>
      <c r="E12" s="12"/>
      <c r="F12" s="12"/>
      <c r="G12" s="12"/>
      <c r="H12" s="12"/>
      <c r="I12" s="12"/>
      <c r="J12" s="12"/>
      <c r="K12" s="12"/>
      <c r="L12" s="12"/>
      <c r="O12" s="12"/>
      <c r="R12" s="12"/>
      <c r="S12" s="12"/>
      <c r="T12" s="53" t="s">
        <v>24</v>
      </c>
      <c r="U12" s="16"/>
      <c r="V12" s="16"/>
      <c r="W12" s="16"/>
      <c r="X12" s="16"/>
      <c r="Y12" s="16"/>
      <c r="Z12" s="16"/>
      <c r="AA12" s="18"/>
      <c r="AC12" s="45" t="s">
        <v>25</v>
      </c>
      <c r="AD12" s="16"/>
      <c r="AE12" s="16"/>
      <c r="AF12" s="18"/>
      <c r="AG12" s="50">
        <f>VLOOKUP(AC12,StockOverview!A13:B20,2,false)</f>
        <v>5493</v>
      </c>
      <c r="AH12" s="16"/>
      <c r="AI12" s="16"/>
      <c r="AJ12" s="18"/>
      <c r="AK12" s="12"/>
      <c r="AL12" s="54" t="s">
        <v>26</v>
      </c>
      <c r="AO12" s="54" t="s">
        <v>27</v>
      </c>
    </row>
    <row r="13">
      <c r="A13" s="12"/>
      <c r="B13" s="31"/>
      <c r="C13" s="12"/>
      <c r="D13" s="12"/>
      <c r="E13" s="12"/>
      <c r="F13" s="12"/>
      <c r="G13" s="12"/>
      <c r="H13" s="12"/>
      <c r="I13" s="12"/>
      <c r="J13" s="12"/>
      <c r="K13" s="12"/>
      <c r="O13" s="12"/>
      <c r="R13" s="12"/>
      <c r="T13" s="55" t="s">
        <v>28</v>
      </c>
      <c r="U13" s="16"/>
      <c r="V13" s="16"/>
      <c r="W13" s="18"/>
      <c r="X13" s="56">
        <f>SUMIFS(TSM!G:G,TSM!A:A,"&gt;="&amp;AL6,TSM!Q:Q,"Inflow")</f>
        <v>0</v>
      </c>
      <c r="Y13" s="16"/>
      <c r="Z13" s="16"/>
      <c r="AA13" s="18"/>
      <c r="AB13" s="12"/>
      <c r="AC13" s="45" t="s">
        <v>29</v>
      </c>
      <c r="AD13" s="16"/>
      <c r="AE13" s="16"/>
      <c r="AF13" s="18"/>
      <c r="AG13" s="50">
        <f>VLOOKUP(AC13,StockOverview!A14:B20,2,false)</f>
        <v>54990</v>
      </c>
      <c r="AH13" s="16"/>
      <c r="AI13" s="16"/>
      <c r="AJ13" s="18"/>
      <c r="AK13" s="57"/>
      <c r="AL13" s="58">
        <v>2025.0</v>
      </c>
      <c r="AM13" s="16"/>
      <c r="AN13" s="18"/>
      <c r="AO13" s="58">
        <v>2025.0</v>
      </c>
      <c r="AP13" s="16"/>
      <c r="AQ13" s="18"/>
      <c r="AR13" s="48"/>
    </row>
    <row r="14">
      <c r="A14" s="12"/>
      <c r="B14" s="3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R14" s="12"/>
      <c r="S14" s="12"/>
      <c r="T14" s="55" t="s">
        <v>30</v>
      </c>
      <c r="U14" s="16"/>
      <c r="V14" s="16"/>
      <c r="W14" s="18"/>
      <c r="X14" s="59">
        <f>SUMIFS(TSM!K:K,TSM!A:A,"&gt;="&amp;AL6,TSM!Q:Q,"Inflow")</f>
        <v>0</v>
      </c>
      <c r="Y14" s="16"/>
      <c r="Z14" s="16"/>
      <c r="AA14" s="18"/>
      <c r="AB14" s="12"/>
      <c r="AC14" s="45" t="s">
        <v>31</v>
      </c>
      <c r="AD14" s="16"/>
      <c r="AE14" s="16"/>
      <c r="AF14" s="18"/>
      <c r="AG14" s="46" t="str">
        <f>VLOOKUP(AC14,#REF!,2,false)</f>
        <v>#REF!</v>
      </c>
      <c r="AH14" s="16"/>
      <c r="AI14" s="16"/>
      <c r="AJ14" s="18"/>
      <c r="AK14" s="12"/>
      <c r="AL14" s="60" t="s">
        <v>32</v>
      </c>
      <c r="AO14" s="60" t="s">
        <v>33</v>
      </c>
      <c r="AR14" s="61"/>
    </row>
    <row r="15">
      <c r="A15" s="12"/>
      <c r="B15" s="3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R15" s="12"/>
      <c r="S15" s="12"/>
      <c r="T15" s="62" t="s">
        <v>34</v>
      </c>
      <c r="U15" s="16"/>
      <c r="V15" s="16"/>
      <c r="W15" s="16"/>
      <c r="X15" s="16"/>
      <c r="Y15" s="16"/>
      <c r="Z15" s="16"/>
      <c r="AA15" s="18"/>
      <c r="AB15" s="12"/>
      <c r="AC15" s="45" t="s">
        <v>35</v>
      </c>
      <c r="AD15" s="16"/>
      <c r="AE15" s="16"/>
      <c r="AF15" s="18"/>
      <c r="AG15" s="46" t="str">
        <f>VLOOKUP(AC15,StockOverview!A22:B22,2,false)</f>
        <v>#N/A</v>
      </c>
      <c r="AH15" s="16"/>
      <c r="AI15" s="16"/>
      <c r="AJ15" s="18"/>
      <c r="AK15" s="12"/>
      <c r="AL15" s="63">
        <f t="array" ref="AL15">IF(AO17="❌ Invalid Start Date","", DATE(AL13, MATCH(AL11, {"Jan","Feb","Mar","Apr","May","Jun","Jul","Aug","Sep","Oct","Nov","Dec"},0), AL9) + TIME(8,0,0))</f>
        <v>45901.33333</v>
      </c>
      <c r="AM15" s="64"/>
      <c r="AN15" s="65"/>
      <c r="AO15" s="63">
        <f t="array" ref="AO15">IF(AO18="❌ Invalid End Date","", DATE(AO13, MATCH(AO11, {"Jan","Feb","Mar","Apr","May","Jun","Jul","Aug","Sep","Oct","Nov","Dec"},0), AO9) + TIME(8,0,0))</f>
        <v>45916.33333</v>
      </c>
      <c r="AP15" s="64"/>
      <c r="AQ15" s="65"/>
      <c r="AR15" s="12"/>
    </row>
    <row r="16">
      <c r="A16" s="12"/>
      <c r="B16" s="3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6" t="s">
        <v>28</v>
      </c>
      <c r="U16" s="16"/>
      <c r="V16" s="16"/>
      <c r="W16" s="18"/>
      <c r="X16" s="67">
        <f>SUMIFS(TSM!G:G,TSM!A:A,"&gt;="&amp;AL6,TSM!Q:Q,"Outflow")</f>
        <v>0</v>
      </c>
      <c r="Y16" s="16"/>
      <c r="Z16" s="16"/>
      <c r="AA16" s="18"/>
      <c r="AB16" s="12"/>
      <c r="AC16" s="45" t="s">
        <v>36</v>
      </c>
      <c r="AD16" s="16"/>
      <c r="AE16" s="16"/>
      <c r="AF16" s="18"/>
      <c r="AG16" s="46" t="str">
        <f>VLOOKUP(AC16,StockOverview!A22:B23,2,false)</f>
        <v>#N/A</v>
      </c>
      <c r="AH16" s="16"/>
      <c r="AI16" s="16"/>
      <c r="AJ16" s="18"/>
      <c r="AK16" s="12"/>
      <c r="AL16" s="68" t="s">
        <v>37</v>
      </c>
      <c r="AR16" s="12"/>
    </row>
    <row r="17">
      <c r="A17" s="12"/>
      <c r="T17" s="66" t="s">
        <v>30</v>
      </c>
      <c r="U17" s="16"/>
      <c r="V17" s="16"/>
      <c r="W17" s="18"/>
      <c r="X17" s="67">
        <f>SUMIFS(TSM!K:K,TSM!A:A,"&gt;="&amp;AL6,TSM!Q:Q,"Outflow")</f>
        <v>0</v>
      </c>
      <c r="Y17" s="16"/>
      <c r="Z17" s="16"/>
      <c r="AA17" s="18"/>
      <c r="AC17" s="45" t="s">
        <v>38</v>
      </c>
      <c r="AD17" s="16"/>
      <c r="AE17" s="16"/>
      <c r="AF17" s="18"/>
      <c r="AG17" s="46" t="str">
        <f>VLOOKUP(AC17,StockOverview!A22:B24,2,false)</f>
        <v>#N/A</v>
      </c>
      <c r="AH17" s="16"/>
      <c r="AI17" s="16"/>
      <c r="AJ17" s="18"/>
      <c r="AL17" s="69" t="s">
        <v>32</v>
      </c>
      <c r="AM17" s="64"/>
      <c r="AN17" s="65"/>
      <c r="AO17" s="70" t="str">
        <f t="array" ref="AO17">IF(AL9&gt;DAY(EOMONTH(DATE(AL13, MATCH(AL11, {"Jan","Feb","Mar","Apr","May","Jun","Jul","Aug","Sep","Oct","Nov","Dec"},0), 1), 0)), "❌ Invalid", "✓ Valid")</f>
        <v>✓ Valid</v>
      </c>
      <c r="AP17" s="64"/>
      <c r="AQ17" s="65"/>
    </row>
    <row r="18">
      <c r="A18" s="12"/>
      <c r="B18" s="3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6" t="s">
        <v>39</v>
      </c>
      <c r="U18" s="16"/>
      <c r="V18" s="16"/>
      <c r="W18" s="18"/>
      <c r="X18" s="71"/>
      <c r="Y18" s="16"/>
      <c r="Z18" s="16"/>
      <c r="AA18" s="18"/>
      <c r="AB18" s="12"/>
      <c r="AC18" s="72"/>
      <c r="AD18" s="16"/>
      <c r="AE18" s="16"/>
      <c r="AF18" s="18"/>
      <c r="AG18" s="46"/>
      <c r="AH18" s="16"/>
      <c r="AI18" s="16"/>
      <c r="AJ18" s="18"/>
      <c r="AK18" s="12"/>
      <c r="AL18" s="69" t="s">
        <v>33</v>
      </c>
      <c r="AM18" s="64"/>
      <c r="AN18" s="65"/>
      <c r="AO18" s="73" t="str">
        <f t="array" ref="AO18">IF(AO9&gt;DAY(EOMONTH(DATE(AO13, MATCH(AO11, {"Jan","Feb","Mar","Apr","May","Jun","Jul","Aug","Sep","Oct","Nov","Dec"},0), 1), 0)), "❌ Invalid", "✓ Valid")</f>
        <v>✓ Valid</v>
      </c>
      <c r="AP18" s="64"/>
      <c r="AQ18" s="65"/>
      <c r="AR18" s="12"/>
    </row>
    <row r="19">
      <c r="A19" s="12"/>
      <c r="B19" s="3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R19" s="12"/>
    </row>
    <row r="20">
      <c r="A20" s="12"/>
      <c r="B20" s="3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ht="15.75" customHeight="1">
      <c r="A21" s="12"/>
      <c r="B21" s="3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ht="15.75" customHeight="1">
      <c r="A22" s="12"/>
      <c r="B22" s="3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ht="15.75" customHeight="1">
      <c r="A23" s="12"/>
      <c r="B23" s="3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</row>
    <row r="24" ht="15.75" customHeight="1">
      <c r="A24" s="12"/>
      <c r="B24" s="3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 ht="15.75" customHeight="1">
      <c r="A25" s="12"/>
      <c r="B25" s="3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</row>
    <row r="26" ht="15.75" customHeight="1">
      <c r="A26" s="12"/>
      <c r="B26" s="3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</row>
    <row r="27" ht="15.75" customHeight="1">
      <c r="A27" s="12"/>
      <c r="B27" s="3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</row>
    <row r="28" ht="15.75" customHeight="1">
      <c r="A28" s="12"/>
      <c r="B28" s="3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</row>
    <row r="29" ht="15.75" customHeight="1">
      <c r="A29" s="12"/>
      <c r="B29" s="3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 ht="15.75" customHeight="1">
      <c r="A30" s="12"/>
      <c r="B30" s="3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ht="15.75" customHeight="1">
      <c r="A31" s="12"/>
      <c r="B31" s="3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</row>
    <row r="32" ht="15.75" customHeight="1">
      <c r="A32" s="12"/>
      <c r="B32" s="3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</row>
    <row r="33" ht="15.75" customHeight="1">
      <c r="A33" s="12"/>
      <c r="B33" s="3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</row>
    <row r="34" ht="15.75" customHeight="1">
      <c r="A34" s="12"/>
      <c r="B34" s="3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</row>
    <row r="35" ht="15.75" customHeight="1">
      <c r="A35" s="74"/>
      <c r="B35" s="75"/>
      <c r="C35" s="76"/>
      <c r="D35" s="77"/>
      <c r="E35" s="78"/>
      <c r="F35" s="76"/>
      <c r="G35" s="79"/>
      <c r="H35" s="79"/>
      <c r="I35" s="80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ht="15.75" customHeight="1">
      <c r="A36" s="81"/>
      <c r="B36" s="82"/>
      <c r="C36" s="12"/>
      <c r="D36" s="83"/>
      <c r="E36" s="12"/>
      <c r="F36" s="12"/>
      <c r="G36" s="12"/>
      <c r="H36" s="12"/>
      <c r="I36" s="8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</row>
    <row r="37" ht="15.75" customHeight="1">
      <c r="A37" s="85"/>
      <c r="B37" s="82"/>
      <c r="C37" s="12"/>
      <c r="D37" s="83"/>
      <c r="E37" s="12"/>
      <c r="F37" s="12"/>
      <c r="G37" s="86"/>
      <c r="H37" s="86"/>
      <c r="I37" s="8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ht="15.75" customHeight="1">
      <c r="A38" s="85"/>
      <c r="B38" s="82"/>
      <c r="C38" s="12"/>
      <c r="D38" s="12"/>
      <c r="E38" s="87"/>
      <c r="F38" s="12"/>
      <c r="G38" s="86"/>
      <c r="H38" s="86"/>
      <c r="I38" s="8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 ht="15.75" customHeight="1">
      <c r="A39" s="88"/>
      <c r="B39" s="89"/>
      <c r="C39" s="90"/>
      <c r="D39" s="90"/>
      <c r="E39" s="90"/>
      <c r="F39" s="90"/>
      <c r="G39" s="90"/>
      <c r="H39" s="90"/>
      <c r="I39" s="9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</row>
    <row r="40" ht="15.75" customHeight="1">
      <c r="A40" s="12"/>
      <c r="B40" s="3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</row>
    <row r="41" ht="15.75" customHeight="1">
      <c r="A41" s="12"/>
      <c r="B41" s="3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</row>
    <row r="42" ht="15.75" customHeight="1">
      <c r="A42" s="12"/>
      <c r="B42" s="3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</row>
    <row r="43" ht="15.75" customHeight="1">
      <c r="A43" s="12"/>
      <c r="B43" s="3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 ht="15.75" customHeight="1">
      <c r="A44" s="12"/>
      <c r="B44" s="3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  <row r="45" ht="15.75" customHeight="1">
      <c r="A45" s="12"/>
      <c r="B45" s="3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</row>
    <row r="46" ht="15.75" customHeight="1">
      <c r="A46" s="12"/>
      <c r="B46" s="3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</row>
    <row r="47" ht="15.75" customHeight="1">
      <c r="A47" s="12"/>
      <c r="B47" s="3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</row>
    <row r="48" ht="15.75" customHeight="1">
      <c r="A48" s="12"/>
      <c r="B48" s="3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</row>
    <row r="49" ht="15.75" customHeight="1">
      <c r="A49" s="12"/>
      <c r="B49" s="3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  <row r="50" ht="15.75" customHeight="1">
      <c r="A50" s="12"/>
      <c r="B50" s="3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 ht="15.75" customHeight="1">
      <c r="A51" s="12"/>
      <c r="B51" s="3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  <row r="52" ht="15.75" customHeight="1">
      <c r="A52" s="12"/>
      <c r="B52" s="3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</row>
    <row r="53" ht="15.75" customHeight="1">
      <c r="A53" s="12"/>
      <c r="B53" s="3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 ht="15.75" customHeight="1">
      <c r="A54" s="12"/>
      <c r="B54" s="3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</row>
    <row r="55" ht="15.75" customHeight="1">
      <c r="A55" s="12"/>
      <c r="B55" s="3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ht="15.75" customHeight="1">
      <c r="A56" s="12"/>
      <c r="B56" s="3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</row>
    <row r="57" ht="15.75" customHeight="1">
      <c r="A57" s="12"/>
      <c r="B57" s="3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</row>
    <row r="58" ht="15.75" customHeight="1">
      <c r="A58" s="12"/>
      <c r="B58" s="3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</row>
    <row r="59" ht="15.75" customHeight="1">
      <c r="A59" s="12"/>
      <c r="B59" s="3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</row>
    <row r="60" ht="15.75" customHeight="1">
      <c r="A60" s="12"/>
      <c r="B60" s="3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</row>
    <row r="61" ht="15.75" customHeight="1">
      <c r="A61" s="12"/>
      <c r="B61" s="3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</row>
    <row r="62" ht="15.75" customHeight="1">
      <c r="A62" s="12"/>
      <c r="B62" s="3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ht="15.75" customHeight="1">
      <c r="A63" s="12"/>
      <c r="B63" s="3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</row>
    <row r="64" ht="15.75" customHeight="1">
      <c r="A64" s="12"/>
      <c r="B64" s="3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</row>
    <row r="65" ht="15.75" customHeight="1">
      <c r="A65" s="12"/>
      <c r="B65" s="3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</row>
    <row r="66" ht="15.75" customHeight="1">
      <c r="A66" s="12"/>
      <c r="B66" s="3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</row>
    <row r="67" ht="15.75" customHeight="1">
      <c r="A67" s="12"/>
      <c r="B67" s="3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</row>
    <row r="68" ht="15.75" customHeight="1">
      <c r="A68" s="12"/>
      <c r="B68" s="3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</row>
    <row r="69" ht="15.75" customHeight="1">
      <c r="A69" s="12"/>
      <c r="B69" s="3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</row>
    <row r="70" ht="15.75" customHeight="1">
      <c r="A70" s="12"/>
      <c r="B70" s="3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</row>
    <row r="71" ht="15.75" customHeight="1">
      <c r="A71" s="12"/>
      <c r="B71" s="3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</row>
    <row r="72" ht="15.75" customHeight="1">
      <c r="A72" s="12"/>
      <c r="B72" s="3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</row>
    <row r="73" ht="15.75" customHeight="1">
      <c r="A73" s="12"/>
      <c r="B73" s="3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</row>
    <row r="74" ht="15.75" customHeight="1">
      <c r="A74" s="12"/>
      <c r="B74" s="3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</row>
    <row r="75" ht="15.75" customHeight="1">
      <c r="A75" s="12"/>
      <c r="B75" s="3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</row>
    <row r="76" ht="15.75" customHeight="1">
      <c r="A76" s="12"/>
      <c r="B76" s="3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</row>
    <row r="77" ht="15.75" customHeight="1">
      <c r="A77" s="12"/>
      <c r="B77" s="3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</row>
    <row r="78" ht="15.75" customHeight="1">
      <c r="A78" s="12"/>
      <c r="B78" s="3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</row>
    <row r="79" ht="15.75" customHeight="1">
      <c r="A79" s="12"/>
      <c r="B79" s="3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</row>
    <row r="80" ht="15.75" customHeight="1">
      <c r="A80" s="12"/>
      <c r="B80" s="3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</row>
    <row r="81" ht="15.75" customHeight="1">
      <c r="A81" s="12"/>
      <c r="B81" s="3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</row>
    <row r="82" ht="15.75" customHeight="1">
      <c r="A82" s="12"/>
      <c r="B82" s="3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</row>
    <row r="83" ht="15.75" customHeight="1">
      <c r="A83" s="12"/>
      <c r="B83" s="3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</row>
    <row r="84" ht="15.75" customHeight="1">
      <c r="A84" s="12"/>
      <c r="B84" s="3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</row>
    <row r="85" ht="15.75" customHeight="1">
      <c r="A85" s="12"/>
      <c r="B85" s="3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</row>
    <row r="86" ht="15.75" customHeight="1">
      <c r="A86" s="12"/>
      <c r="B86" s="3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</row>
    <row r="87" ht="15.75" customHeight="1">
      <c r="A87" s="12"/>
      <c r="B87" s="3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</row>
    <row r="88" ht="15.75" customHeight="1">
      <c r="A88" s="12"/>
      <c r="B88" s="3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</row>
    <row r="89" ht="15.75" customHeight="1">
      <c r="A89" s="12"/>
      <c r="B89" s="3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</row>
    <row r="90" ht="15.75" customHeight="1">
      <c r="A90" s="12"/>
      <c r="B90" s="3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</row>
    <row r="91" ht="15.75" customHeight="1">
      <c r="A91" s="12"/>
      <c r="B91" s="3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</row>
    <row r="92" ht="15.75" customHeight="1">
      <c r="A92" s="12"/>
      <c r="B92" s="3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</row>
    <row r="93" ht="15.75" customHeight="1">
      <c r="A93" s="12"/>
      <c r="B93" s="3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</row>
    <row r="94" ht="15.75" customHeight="1">
      <c r="A94" s="12"/>
      <c r="B94" s="3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</row>
    <row r="95" ht="15.75" customHeight="1">
      <c r="A95" s="12"/>
      <c r="B95" s="3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</row>
    <row r="96" ht="15.75" customHeight="1">
      <c r="A96" s="12"/>
      <c r="B96" s="3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</row>
    <row r="97" ht="15.75" customHeight="1">
      <c r="A97" s="12"/>
      <c r="B97" s="3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</row>
    <row r="98" ht="15.75" customHeight="1">
      <c r="A98" s="12"/>
      <c r="B98" s="3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</row>
    <row r="99" ht="15.75" customHeight="1">
      <c r="A99" s="12"/>
      <c r="B99" s="3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</row>
    <row r="100" ht="15.75" customHeight="1">
      <c r="A100" s="12"/>
      <c r="B100" s="3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</row>
    <row r="101" ht="15.75" customHeight="1">
      <c r="A101" s="12"/>
      <c r="B101" s="3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</row>
    <row r="102" ht="15.75" customHeight="1">
      <c r="A102" s="12"/>
      <c r="B102" s="3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</row>
    <row r="103" ht="15.75" customHeight="1">
      <c r="A103" s="12"/>
      <c r="B103" s="3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</row>
    <row r="104" ht="15.75" customHeight="1">
      <c r="A104" s="12"/>
      <c r="B104" s="3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</row>
    <row r="105" ht="15.75" customHeight="1">
      <c r="A105" s="12"/>
      <c r="B105" s="3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</row>
    <row r="106" ht="15.75" customHeight="1">
      <c r="A106" s="12"/>
      <c r="B106" s="3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</row>
    <row r="107" ht="15.75" customHeight="1">
      <c r="A107" s="12"/>
      <c r="B107" s="3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</row>
    <row r="108" ht="15.75" customHeight="1">
      <c r="A108" s="12"/>
      <c r="B108" s="3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</row>
    <row r="109" ht="15.75" customHeight="1">
      <c r="A109" s="12"/>
      <c r="B109" s="3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</row>
    <row r="110" ht="15.75" customHeight="1">
      <c r="A110" s="12"/>
      <c r="B110" s="3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</row>
    <row r="111" ht="15.75" customHeight="1">
      <c r="A111" s="12"/>
      <c r="B111" s="3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</row>
    <row r="112" ht="15.75" customHeight="1">
      <c r="A112" s="12"/>
      <c r="B112" s="3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</row>
    <row r="113" ht="15.75" customHeight="1">
      <c r="A113" s="12"/>
      <c r="B113" s="3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</row>
    <row r="114" ht="15.75" customHeight="1">
      <c r="A114" s="12"/>
      <c r="B114" s="3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</row>
    <row r="115" ht="15.75" customHeight="1">
      <c r="A115" s="12"/>
      <c r="B115" s="3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</row>
    <row r="116" ht="15.75" customHeight="1">
      <c r="A116" s="12"/>
      <c r="B116" s="3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</row>
    <row r="117" ht="15.75" customHeight="1">
      <c r="A117" s="12"/>
      <c r="B117" s="3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</row>
    <row r="118" ht="15.75" customHeight="1">
      <c r="A118" s="12"/>
      <c r="B118" s="3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</row>
    <row r="119" ht="15.75" customHeight="1">
      <c r="A119" s="12"/>
      <c r="B119" s="3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</row>
    <row r="120" ht="15.75" customHeight="1">
      <c r="A120" s="12"/>
      <c r="B120" s="3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</row>
    <row r="121" ht="15.75" customHeight="1">
      <c r="A121" s="12"/>
      <c r="B121" s="3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</row>
    <row r="122" ht="15.75" customHeight="1">
      <c r="A122" s="12"/>
      <c r="B122" s="3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</row>
    <row r="123" ht="15.75" customHeight="1">
      <c r="A123" s="12"/>
      <c r="B123" s="3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</row>
    <row r="124" ht="15.75" customHeight="1">
      <c r="A124" s="12"/>
      <c r="B124" s="3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</row>
    <row r="125" ht="15.75" customHeight="1">
      <c r="A125" s="12"/>
      <c r="B125" s="3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</row>
    <row r="126" ht="15.75" customHeight="1">
      <c r="A126" s="12"/>
      <c r="B126" s="3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</row>
    <row r="127" ht="15.75" customHeight="1">
      <c r="A127" s="12"/>
      <c r="B127" s="3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</row>
    <row r="128" ht="15.75" customHeight="1">
      <c r="A128" s="12"/>
      <c r="B128" s="3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</row>
    <row r="129" ht="15.75" customHeight="1">
      <c r="A129" s="12"/>
      <c r="B129" s="3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</row>
    <row r="130" ht="15.75" customHeight="1">
      <c r="A130" s="12"/>
      <c r="B130" s="3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</row>
    <row r="131" ht="15.75" customHeight="1">
      <c r="A131" s="12"/>
      <c r="B131" s="3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</row>
    <row r="132" ht="15.75" customHeight="1">
      <c r="A132" s="12"/>
      <c r="B132" s="3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</row>
    <row r="133" ht="15.75" customHeight="1">
      <c r="A133" s="12"/>
      <c r="B133" s="3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  <row r="134" ht="15.75" customHeight="1">
      <c r="A134" s="12"/>
      <c r="B134" s="3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</row>
    <row r="135" ht="15.75" customHeight="1">
      <c r="A135" s="12"/>
      <c r="B135" s="3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</row>
    <row r="136" ht="15.75" customHeight="1">
      <c r="A136" s="12"/>
      <c r="B136" s="3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</row>
    <row r="137" ht="15.75" customHeight="1">
      <c r="A137" s="12"/>
      <c r="B137" s="3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</row>
    <row r="138" ht="15.75" customHeight="1">
      <c r="A138" s="12"/>
      <c r="B138" s="3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</row>
    <row r="139" ht="15.75" customHeight="1">
      <c r="A139" s="12"/>
      <c r="B139" s="3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</row>
    <row r="140" ht="15.75" customHeight="1">
      <c r="A140" s="12"/>
      <c r="B140" s="3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</row>
    <row r="141" ht="15.75" customHeight="1">
      <c r="A141" s="12"/>
      <c r="B141" s="3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</row>
    <row r="142" ht="15.75" customHeight="1">
      <c r="A142" s="12"/>
      <c r="B142" s="3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</row>
    <row r="143" ht="15.75" customHeight="1">
      <c r="A143" s="12"/>
      <c r="B143" s="3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</row>
    <row r="144" ht="15.75" customHeight="1">
      <c r="A144" s="12"/>
      <c r="B144" s="3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</row>
    <row r="145" ht="15.75" customHeight="1">
      <c r="A145" s="12"/>
      <c r="B145" s="3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</row>
    <row r="146" ht="15.75" customHeight="1">
      <c r="A146" s="12"/>
      <c r="B146" s="3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</row>
    <row r="147" ht="15.75" customHeight="1">
      <c r="A147" s="12"/>
      <c r="B147" s="3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</row>
    <row r="148" ht="15.75" customHeight="1">
      <c r="A148" s="12"/>
      <c r="B148" s="3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</row>
    <row r="149" ht="15.75" customHeight="1">
      <c r="A149" s="12"/>
      <c r="B149" s="3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</row>
    <row r="150" ht="15.75" customHeight="1">
      <c r="A150" s="12"/>
      <c r="B150" s="3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</row>
    <row r="151" ht="15.75" customHeight="1">
      <c r="A151" s="12"/>
      <c r="B151" s="3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</row>
    <row r="152" ht="15.75" customHeight="1">
      <c r="A152" s="12"/>
      <c r="B152" s="3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</row>
    <row r="153" ht="15.75" customHeight="1">
      <c r="A153" s="12"/>
      <c r="B153" s="3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</row>
    <row r="154" ht="15.75" customHeight="1">
      <c r="A154" s="12"/>
      <c r="B154" s="3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</row>
    <row r="155" ht="15.75" customHeight="1">
      <c r="A155" s="12"/>
      <c r="B155" s="3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</row>
    <row r="156" ht="15.75" customHeight="1">
      <c r="A156" s="12"/>
      <c r="B156" s="3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</row>
    <row r="157" ht="15.75" customHeight="1">
      <c r="A157" s="12"/>
      <c r="B157" s="3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</row>
    <row r="158" ht="15.75" customHeight="1">
      <c r="A158" s="12"/>
      <c r="B158" s="3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</row>
    <row r="159" ht="15.75" customHeight="1">
      <c r="A159" s="12"/>
      <c r="B159" s="3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</row>
    <row r="160" ht="15.75" customHeight="1">
      <c r="A160" s="12"/>
      <c r="B160" s="3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</row>
    <row r="161" ht="15.75" customHeight="1">
      <c r="A161" s="12"/>
      <c r="B161" s="3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</row>
    <row r="162" ht="15.75" customHeight="1">
      <c r="A162" s="12"/>
      <c r="B162" s="3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</row>
    <row r="163" ht="15.75" customHeight="1">
      <c r="A163" s="12"/>
      <c r="B163" s="3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</row>
    <row r="164" ht="15.75" customHeight="1">
      <c r="A164" s="12"/>
      <c r="B164" s="3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 ht="15.75" customHeight="1">
      <c r="A165" s="12"/>
      <c r="B165" s="3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</row>
    <row r="166" ht="15.75" customHeight="1">
      <c r="A166" s="12"/>
      <c r="B166" s="3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</row>
    <row r="167" ht="15.75" customHeight="1">
      <c r="A167" s="12"/>
      <c r="B167" s="3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</row>
    <row r="168" ht="15.75" customHeight="1">
      <c r="A168" s="12"/>
      <c r="B168" s="3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</row>
    <row r="169" ht="15.75" customHeight="1">
      <c r="A169" s="12"/>
      <c r="B169" s="3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</row>
    <row r="170" ht="15.75" customHeight="1">
      <c r="A170" s="12"/>
      <c r="B170" s="3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</row>
    <row r="171" ht="15.75" customHeight="1">
      <c r="A171" s="12"/>
      <c r="B171" s="3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</row>
    <row r="172" ht="15.75" customHeight="1">
      <c r="A172" s="12"/>
      <c r="B172" s="3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</row>
    <row r="173" ht="15.75" customHeight="1">
      <c r="A173" s="12"/>
      <c r="B173" s="3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</row>
    <row r="174" ht="15.75" customHeight="1">
      <c r="A174" s="12"/>
      <c r="B174" s="3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</row>
    <row r="175" ht="15.75" customHeight="1">
      <c r="A175" s="12"/>
      <c r="B175" s="3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</row>
    <row r="176" ht="15.75" customHeight="1">
      <c r="A176" s="12"/>
      <c r="B176" s="3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  <row r="177" ht="15.75" customHeight="1">
      <c r="A177" s="12"/>
      <c r="B177" s="3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</row>
    <row r="178" ht="15.75" customHeight="1">
      <c r="A178" s="12"/>
      <c r="B178" s="3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</row>
    <row r="179" ht="15.75" customHeight="1">
      <c r="A179" s="12"/>
      <c r="B179" s="3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</row>
    <row r="180" ht="15.75" customHeight="1">
      <c r="A180" s="12"/>
      <c r="B180" s="3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</row>
    <row r="181" ht="15.75" customHeight="1">
      <c r="A181" s="12"/>
      <c r="B181" s="3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</row>
    <row r="182" ht="15.75" customHeight="1">
      <c r="A182" s="12"/>
      <c r="B182" s="3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</row>
    <row r="183" ht="15.75" customHeight="1">
      <c r="A183" s="12"/>
      <c r="B183" s="3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</row>
    <row r="184" ht="15.75" customHeight="1">
      <c r="A184" s="12"/>
      <c r="B184" s="3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</row>
    <row r="185" ht="15.75" customHeight="1">
      <c r="A185" s="12"/>
      <c r="B185" s="3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</row>
    <row r="186" ht="15.75" customHeight="1">
      <c r="A186" s="12"/>
      <c r="B186" s="3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</row>
    <row r="187" ht="15.75" customHeight="1">
      <c r="A187" s="12"/>
      <c r="B187" s="3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</row>
    <row r="188" ht="15.75" customHeight="1">
      <c r="A188" s="12"/>
      <c r="B188" s="3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</row>
    <row r="189" ht="15.75" customHeight="1">
      <c r="A189" s="12"/>
      <c r="B189" s="3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</row>
    <row r="190" ht="15.75" customHeight="1">
      <c r="A190" s="12"/>
      <c r="B190" s="3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</row>
    <row r="191" ht="15.75" customHeight="1">
      <c r="A191" s="12"/>
      <c r="B191" s="3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</row>
    <row r="192" ht="15.75" customHeight="1">
      <c r="A192" s="12"/>
      <c r="B192" s="3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</row>
    <row r="193" ht="15.75" customHeight="1">
      <c r="A193" s="12"/>
      <c r="B193" s="3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</row>
    <row r="194" ht="15.75" customHeight="1">
      <c r="A194" s="12"/>
      <c r="B194" s="3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</row>
    <row r="195" ht="15.75" customHeight="1">
      <c r="A195" s="12"/>
      <c r="B195" s="3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</row>
    <row r="196" ht="15.75" customHeight="1">
      <c r="A196" s="12"/>
      <c r="B196" s="3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</row>
    <row r="197" ht="15.75" customHeight="1">
      <c r="A197" s="12"/>
      <c r="B197" s="3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</row>
    <row r="198" ht="15.75" customHeight="1">
      <c r="A198" s="12"/>
      <c r="B198" s="3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</row>
    <row r="199" ht="15.75" customHeight="1">
      <c r="A199" s="12"/>
      <c r="B199" s="3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</row>
    <row r="200" ht="15.75" customHeight="1">
      <c r="A200" s="12"/>
      <c r="B200" s="3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</row>
    <row r="201" ht="15.75" customHeight="1">
      <c r="A201" s="12"/>
      <c r="B201" s="3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</row>
    <row r="202" ht="15.75" customHeight="1">
      <c r="A202" s="12"/>
      <c r="B202" s="3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</row>
    <row r="203" ht="15.75" customHeight="1">
      <c r="A203" s="12"/>
      <c r="B203" s="3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</row>
    <row r="204" ht="15.75" customHeight="1">
      <c r="A204" s="12"/>
      <c r="B204" s="3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</row>
    <row r="205" ht="15.75" customHeight="1">
      <c r="A205" s="12"/>
      <c r="B205" s="3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</row>
    <row r="206" ht="15.75" customHeight="1">
      <c r="A206" s="12"/>
      <c r="B206" s="3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</row>
    <row r="207" ht="15.75" customHeight="1">
      <c r="A207" s="12"/>
      <c r="B207" s="3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</row>
    <row r="208" ht="15.75" customHeight="1">
      <c r="A208" s="12"/>
      <c r="B208" s="3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</row>
    <row r="209" ht="15.75" customHeight="1">
      <c r="A209" s="12"/>
      <c r="B209" s="3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</row>
    <row r="210" ht="15.75" customHeight="1">
      <c r="A210" s="12"/>
      <c r="B210" s="3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</row>
    <row r="211" ht="15.75" customHeight="1">
      <c r="A211" s="12"/>
      <c r="B211" s="3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</row>
    <row r="212" ht="15.75" customHeight="1">
      <c r="A212" s="12"/>
      <c r="B212" s="3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</row>
    <row r="213" ht="15.75" customHeight="1">
      <c r="A213" s="12"/>
      <c r="B213" s="3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</row>
    <row r="214" ht="15.75" customHeight="1">
      <c r="A214" s="12"/>
      <c r="B214" s="3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</row>
    <row r="215" ht="15.75" customHeight="1">
      <c r="A215" s="12"/>
      <c r="B215" s="3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</row>
    <row r="216" ht="15.75" customHeight="1">
      <c r="A216" s="12"/>
      <c r="B216" s="3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</row>
    <row r="217" ht="15.75" customHeight="1">
      <c r="A217" s="12"/>
      <c r="B217" s="3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</row>
    <row r="218" ht="15.75" customHeight="1">
      <c r="A218" s="12"/>
      <c r="B218" s="3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</row>
    <row r="219" ht="15.75" customHeight="1">
      <c r="A219" s="12"/>
      <c r="B219" s="3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</row>
    <row r="220" ht="15.75" customHeight="1">
      <c r="A220" s="12"/>
      <c r="B220" s="3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</row>
    <row r="221" ht="15.75" customHeight="1">
      <c r="A221" s="12"/>
      <c r="B221" s="3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</row>
    <row r="222" ht="15.75" customHeight="1">
      <c r="A222" s="12"/>
      <c r="B222" s="3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</row>
    <row r="223" ht="15.75" customHeight="1">
      <c r="A223" s="12"/>
      <c r="B223" s="3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</row>
    <row r="224" ht="15.75" customHeight="1">
      <c r="A224" s="12"/>
      <c r="B224" s="3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</row>
    <row r="225" ht="15.75" customHeight="1">
      <c r="A225" s="12"/>
      <c r="B225" s="3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</row>
    <row r="226" ht="15.75" customHeight="1">
      <c r="A226" s="12"/>
      <c r="B226" s="3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</row>
    <row r="227" ht="15.75" customHeight="1">
      <c r="A227" s="12"/>
      <c r="B227" s="3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</row>
    <row r="228" ht="15.75" customHeight="1">
      <c r="A228" s="12"/>
      <c r="B228" s="3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</row>
    <row r="229" ht="15.75" customHeight="1">
      <c r="A229" s="12"/>
      <c r="B229" s="3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</row>
    <row r="230" ht="15.75" customHeight="1">
      <c r="A230" s="12"/>
      <c r="B230" s="3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</row>
    <row r="231" ht="15.75" customHeight="1">
      <c r="A231" s="12"/>
      <c r="B231" s="3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</row>
    <row r="232" ht="15.75" customHeight="1">
      <c r="A232" s="12"/>
      <c r="B232" s="3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</row>
    <row r="233" ht="15.75" customHeight="1">
      <c r="A233" s="12"/>
      <c r="B233" s="3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</row>
    <row r="234" ht="15.75" customHeight="1">
      <c r="A234" s="12"/>
      <c r="B234" s="3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</row>
    <row r="235" ht="15.75" customHeight="1">
      <c r="A235" s="12"/>
      <c r="B235" s="3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</row>
    <row r="236" ht="15.75" customHeight="1">
      <c r="A236" s="12"/>
      <c r="B236" s="3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</row>
    <row r="237" ht="15.75" customHeight="1">
      <c r="A237" s="12"/>
      <c r="B237" s="3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</row>
    <row r="238" ht="15.75" customHeight="1">
      <c r="A238" s="12"/>
      <c r="B238" s="3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</row>
    <row r="239" ht="15.75" customHeight="1">
      <c r="A239" s="12"/>
      <c r="B239" s="3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</row>
    <row r="240" ht="15.75" customHeight="1">
      <c r="A240" s="12"/>
      <c r="B240" s="3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</row>
    <row r="241" ht="15.75" customHeight="1">
      <c r="A241" s="12"/>
      <c r="B241" s="3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</row>
    <row r="242" ht="15.75" customHeight="1">
      <c r="A242" s="12"/>
      <c r="B242" s="3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</row>
    <row r="243" ht="15.75" customHeight="1">
      <c r="A243" s="12"/>
      <c r="B243" s="3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</row>
    <row r="244" ht="15.75" customHeight="1">
      <c r="A244" s="12"/>
      <c r="B244" s="3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</row>
    <row r="245" ht="15.75" customHeight="1">
      <c r="A245" s="12"/>
      <c r="B245" s="3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</row>
    <row r="246" ht="15.75" customHeight="1">
      <c r="A246" s="12"/>
      <c r="B246" s="3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</row>
    <row r="247" ht="15.75" customHeight="1">
      <c r="A247" s="12"/>
      <c r="B247" s="3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</row>
    <row r="248" ht="15.75" customHeight="1">
      <c r="A248" s="12"/>
      <c r="B248" s="3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</row>
    <row r="249" ht="15.75" customHeight="1">
      <c r="A249" s="12"/>
      <c r="B249" s="3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</row>
    <row r="250" ht="15.75" customHeight="1">
      <c r="A250" s="12"/>
      <c r="B250" s="3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</row>
    <row r="251" ht="15.75" customHeight="1">
      <c r="A251" s="12"/>
      <c r="B251" s="3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</row>
    <row r="252" ht="15.75" customHeight="1">
      <c r="A252" s="12"/>
      <c r="B252" s="3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</row>
    <row r="253" ht="15.75" customHeight="1">
      <c r="A253" s="12"/>
      <c r="B253" s="3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</row>
    <row r="254" ht="15.75" customHeight="1">
      <c r="A254" s="12"/>
      <c r="B254" s="3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</row>
    <row r="255" ht="15.75" customHeight="1">
      <c r="A255" s="12"/>
      <c r="B255" s="3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</row>
    <row r="256" ht="15.75" customHeight="1">
      <c r="A256" s="12"/>
      <c r="B256" s="3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</row>
    <row r="257" ht="15.75" customHeight="1">
      <c r="A257" s="12"/>
      <c r="B257" s="3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</row>
    <row r="258" ht="15.75" customHeight="1">
      <c r="A258" s="12"/>
      <c r="B258" s="3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</row>
    <row r="259" ht="15.75" customHeight="1">
      <c r="A259" s="12"/>
      <c r="B259" s="3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</row>
    <row r="260" ht="15.75" customHeight="1">
      <c r="A260" s="12"/>
      <c r="B260" s="3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</row>
    <row r="261" ht="15.75" customHeight="1">
      <c r="A261" s="12"/>
      <c r="B261" s="3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</row>
    <row r="262" ht="15.75" customHeight="1">
      <c r="A262" s="12"/>
      <c r="B262" s="3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</row>
    <row r="263" ht="15.75" customHeight="1">
      <c r="A263" s="12"/>
      <c r="B263" s="3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</row>
    <row r="264" ht="15.75" customHeight="1">
      <c r="A264" s="12"/>
      <c r="B264" s="3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</row>
    <row r="265" ht="15.75" customHeight="1">
      <c r="A265" s="12"/>
      <c r="B265" s="3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</row>
    <row r="266" ht="15.75" customHeight="1">
      <c r="A266" s="12"/>
      <c r="B266" s="3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</row>
    <row r="267" ht="15.75" customHeight="1">
      <c r="A267" s="12"/>
      <c r="B267" s="3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</row>
    <row r="268" ht="15.75" customHeight="1">
      <c r="A268" s="12"/>
      <c r="B268" s="3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</row>
    <row r="269" ht="15.75" customHeight="1">
      <c r="A269" s="12"/>
      <c r="B269" s="3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</row>
    <row r="270" ht="15.75" customHeight="1">
      <c r="A270" s="12"/>
      <c r="B270" s="3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</row>
    <row r="271" ht="15.75" customHeight="1">
      <c r="A271" s="12"/>
      <c r="B271" s="3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</row>
    <row r="272" ht="15.75" customHeight="1">
      <c r="A272" s="12"/>
      <c r="B272" s="3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</row>
    <row r="273" ht="15.75" customHeight="1">
      <c r="A273" s="12"/>
      <c r="B273" s="3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</row>
    <row r="274" ht="15.75" customHeight="1">
      <c r="A274" s="12"/>
      <c r="B274" s="3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</row>
    <row r="275" ht="15.75" customHeight="1">
      <c r="A275" s="12"/>
      <c r="B275" s="3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</row>
    <row r="276" ht="15.75" customHeight="1">
      <c r="A276" s="12"/>
      <c r="B276" s="3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</row>
    <row r="277" ht="15.75" customHeight="1">
      <c r="A277" s="12"/>
      <c r="B277" s="3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</row>
    <row r="278" ht="15.75" customHeight="1">
      <c r="A278" s="12"/>
      <c r="B278" s="3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</row>
    <row r="279" ht="15.75" customHeight="1">
      <c r="A279" s="12"/>
      <c r="B279" s="3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</row>
    <row r="280" ht="15.75" customHeight="1">
      <c r="A280" s="12"/>
      <c r="B280" s="3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</row>
    <row r="281" ht="15.75" customHeight="1">
      <c r="A281" s="12"/>
      <c r="B281" s="3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</row>
    <row r="282" ht="15.75" customHeight="1">
      <c r="A282" s="12"/>
      <c r="B282" s="3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</row>
    <row r="283" ht="15.75" customHeight="1">
      <c r="A283" s="12"/>
      <c r="B283" s="3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</row>
    <row r="284" ht="15.75" customHeight="1">
      <c r="A284" s="12"/>
      <c r="B284" s="3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</row>
    <row r="285" ht="15.75" customHeight="1">
      <c r="A285" s="12"/>
      <c r="B285" s="3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</row>
    <row r="286" ht="15.75" customHeight="1">
      <c r="A286" s="12"/>
      <c r="B286" s="3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</row>
    <row r="287" ht="15.75" customHeight="1">
      <c r="A287" s="12"/>
      <c r="B287" s="3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</row>
    <row r="288" ht="15.75" customHeight="1">
      <c r="A288" s="12"/>
      <c r="B288" s="3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</row>
    <row r="289" ht="15.75" customHeight="1">
      <c r="A289" s="12"/>
      <c r="B289" s="3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</row>
    <row r="290" ht="15.75" customHeight="1">
      <c r="A290" s="12"/>
      <c r="B290" s="3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</row>
    <row r="291" ht="15.75" customHeight="1">
      <c r="A291" s="12"/>
      <c r="B291" s="3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</row>
    <row r="292" ht="15.75" customHeight="1">
      <c r="A292" s="12"/>
      <c r="B292" s="3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</row>
    <row r="293" ht="15.75" customHeight="1">
      <c r="A293" s="12"/>
      <c r="B293" s="3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</row>
    <row r="294" ht="15.75" customHeight="1">
      <c r="A294" s="12"/>
      <c r="B294" s="3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</row>
    <row r="295" ht="15.75" customHeight="1">
      <c r="A295" s="12"/>
      <c r="B295" s="3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</row>
    <row r="296" ht="15.75" customHeight="1">
      <c r="A296" s="12"/>
      <c r="B296" s="3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</row>
    <row r="297" ht="15.75" customHeight="1">
      <c r="A297" s="12"/>
      <c r="B297" s="3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</row>
    <row r="298" ht="15.75" customHeight="1">
      <c r="A298" s="12"/>
      <c r="B298" s="3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</row>
    <row r="299" ht="15.75" customHeight="1">
      <c r="A299" s="12"/>
      <c r="B299" s="3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</row>
    <row r="300" ht="15.75" customHeight="1">
      <c r="A300" s="12"/>
      <c r="B300" s="3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</row>
    <row r="301" ht="15.75" customHeight="1">
      <c r="A301" s="12"/>
      <c r="B301" s="3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</row>
    <row r="302" ht="15.75" customHeight="1">
      <c r="A302" s="12"/>
      <c r="B302" s="3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</row>
    <row r="303" ht="15.75" customHeight="1">
      <c r="A303" s="12"/>
      <c r="B303" s="3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</row>
    <row r="304" ht="15.75" customHeight="1">
      <c r="A304" s="12"/>
      <c r="B304" s="3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</row>
    <row r="305" ht="15.75" customHeight="1">
      <c r="A305" s="12"/>
      <c r="B305" s="3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</row>
    <row r="306" ht="15.75" customHeight="1">
      <c r="A306" s="12"/>
      <c r="B306" s="3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</row>
    <row r="307" ht="15.75" customHeight="1">
      <c r="A307" s="12"/>
      <c r="B307" s="3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</row>
    <row r="308" ht="15.75" customHeight="1">
      <c r="A308" s="12"/>
      <c r="B308" s="3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</row>
    <row r="309" ht="15.75" customHeight="1">
      <c r="A309" s="12"/>
      <c r="B309" s="3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</row>
    <row r="310" ht="15.75" customHeight="1">
      <c r="A310" s="12"/>
      <c r="B310" s="3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</row>
    <row r="311" ht="15.75" customHeight="1">
      <c r="A311" s="12"/>
      <c r="B311" s="3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</row>
    <row r="312" ht="15.75" customHeight="1">
      <c r="A312" s="12"/>
      <c r="B312" s="3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</row>
    <row r="313" ht="15.75" customHeight="1">
      <c r="A313" s="12"/>
      <c r="B313" s="3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</row>
    <row r="314" ht="15.75" customHeight="1">
      <c r="A314" s="12"/>
      <c r="B314" s="3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</row>
    <row r="315" ht="15.75" customHeight="1">
      <c r="A315" s="12"/>
      <c r="B315" s="3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</row>
    <row r="316" ht="15.75" customHeight="1">
      <c r="A316" s="12"/>
      <c r="B316" s="3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</row>
    <row r="317" ht="15.75" customHeight="1">
      <c r="A317" s="12"/>
      <c r="B317" s="3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</row>
    <row r="318" ht="15.75" customHeight="1">
      <c r="A318" s="12"/>
      <c r="B318" s="3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</row>
    <row r="319" ht="15.75" customHeight="1">
      <c r="A319" s="12"/>
      <c r="B319" s="3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</row>
    <row r="320" ht="15.75" customHeight="1">
      <c r="A320" s="12"/>
      <c r="B320" s="3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</row>
    <row r="321" ht="15.75" customHeight="1">
      <c r="A321" s="12"/>
      <c r="B321" s="3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</row>
    <row r="322" ht="15.75" customHeight="1">
      <c r="A322" s="12"/>
      <c r="B322" s="3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</row>
    <row r="323" ht="15.75" customHeight="1">
      <c r="A323" s="12"/>
      <c r="B323" s="3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</row>
    <row r="324" ht="15.75" customHeight="1">
      <c r="A324" s="12"/>
      <c r="B324" s="3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</row>
    <row r="325" ht="15.75" customHeight="1">
      <c r="A325" s="12"/>
      <c r="B325" s="3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</row>
    <row r="326" ht="15.75" customHeight="1">
      <c r="A326" s="12"/>
      <c r="B326" s="3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</row>
    <row r="327" ht="15.75" customHeight="1">
      <c r="A327" s="12"/>
      <c r="B327" s="3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</row>
    <row r="328" ht="15.75" customHeight="1">
      <c r="A328" s="12"/>
      <c r="B328" s="3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</row>
    <row r="329" ht="15.75" customHeight="1">
      <c r="A329" s="12"/>
      <c r="B329" s="3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</row>
    <row r="330" ht="15.75" customHeight="1">
      <c r="A330" s="12"/>
      <c r="B330" s="3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</row>
    <row r="331" ht="15.75" customHeight="1">
      <c r="A331" s="12"/>
      <c r="B331" s="3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</row>
    <row r="332" ht="15.75" customHeight="1">
      <c r="A332" s="12"/>
      <c r="B332" s="3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</row>
    <row r="333" ht="15.75" customHeight="1">
      <c r="A333" s="12"/>
      <c r="B333" s="3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</row>
    <row r="334" ht="15.75" customHeight="1">
      <c r="A334" s="12"/>
      <c r="B334" s="3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</row>
    <row r="335" ht="15.75" customHeight="1">
      <c r="A335" s="12"/>
      <c r="B335" s="3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</row>
    <row r="336" ht="15.75" customHeight="1">
      <c r="A336" s="12"/>
      <c r="B336" s="3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</row>
    <row r="337" ht="15.75" customHeight="1">
      <c r="A337" s="12"/>
      <c r="B337" s="3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</row>
    <row r="338" ht="15.75" customHeight="1">
      <c r="A338" s="12"/>
      <c r="B338" s="3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</row>
    <row r="339" ht="15.75" customHeight="1">
      <c r="A339" s="12"/>
      <c r="B339" s="3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</row>
    <row r="340" ht="15.75" customHeight="1">
      <c r="A340" s="12"/>
      <c r="B340" s="3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</row>
    <row r="341" ht="15.75" customHeight="1">
      <c r="A341" s="12"/>
      <c r="B341" s="3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</row>
    <row r="342" ht="15.75" customHeight="1">
      <c r="A342" s="12"/>
      <c r="B342" s="3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</row>
    <row r="343" ht="15.75" customHeight="1">
      <c r="A343" s="12"/>
      <c r="B343" s="3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</row>
    <row r="344" ht="15.75" customHeight="1">
      <c r="A344" s="12"/>
      <c r="B344" s="3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</row>
    <row r="345" ht="15.75" customHeight="1">
      <c r="A345" s="12"/>
      <c r="B345" s="3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</row>
    <row r="346" ht="15.75" customHeight="1">
      <c r="A346" s="12"/>
      <c r="B346" s="3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</row>
    <row r="347" ht="15.75" customHeight="1">
      <c r="A347" s="12"/>
      <c r="B347" s="3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</row>
    <row r="348" ht="15.75" customHeight="1">
      <c r="A348" s="12"/>
      <c r="B348" s="3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</row>
    <row r="349" ht="15.75" customHeight="1">
      <c r="A349" s="12"/>
      <c r="B349" s="3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</row>
    <row r="350" ht="15.75" customHeight="1">
      <c r="A350" s="12"/>
      <c r="B350" s="3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</row>
    <row r="351" ht="15.75" customHeight="1">
      <c r="A351" s="12"/>
      <c r="B351" s="3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</row>
    <row r="352" ht="15.75" customHeight="1">
      <c r="A352" s="12"/>
      <c r="B352" s="3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</row>
    <row r="353" ht="15.75" customHeight="1">
      <c r="A353" s="12"/>
      <c r="B353" s="3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</row>
    <row r="354" ht="15.75" customHeight="1">
      <c r="A354" s="12"/>
      <c r="B354" s="3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</row>
    <row r="355" ht="15.75" customHeight="1">
      <c r="A355" s="12"/>
      <c r="B355" s="3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</row>
    <row r="356" ht="15.75" customHeight="1">
      <c r="A356" s="12"/>
      <c r="B356" s="3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</row>
    <row r="357" ht="15.75" customHeight="1">
      <c r="A357" s="12"/>
      <c r="B357" s="3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</row>
    <row r="358" ht="15.75" customHeight="1">
      <c r="A358" s="12"/>
      <c r="B358" s="3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</row>
    <row r="359" ht="15.75" customHeight="1">
      <c r="A359" s="12"/>
      <c r="B359" s="3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</row>
    <row r="360" ht="15.75" customHeight="1">
      <c r="A360" s="12"/>
      <c r="B360" s="3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</row>
    <row r="361" ht="15.75" customHeight="1">
      <c r="A361" s="12"/>
      <c r="B361" s="3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</row>
    <row r="362" ht="15.75" customHeight="1">
      <c r="A362" s="12"/>
      <c r="B362" s="3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</row>
    <row r="363" ht="15.75" customHeight="1">
      <c r="A363" s="12"/>
      <c r="B363" s="3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</row>
    <row r="364" ht="15.75" customHeight="1">
      <c r="A364" s="12"/>
      <c r="B364" s="3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</row>
    <row r="365" ht="15.75" customHeight="1">
      <c r="A365" s="12"/>
      <c r="B365" s="3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</row>
    <row r="366" ht="15.75" customHeight="1">
      <c r="A366" s="12"/>
      <c r="B366" s="3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</row>
    <row r="367" ht="15.75" customHeight="1">
      <c r="A367" s="12"/>
      <c r="B367" s="3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</row>
    <row r="368" ht="15.75" customHeight="1">
      <c r="A368" s="12"/>
      <c r="B368" s="3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</row>
    <row r="369" ht="15.75" customHeight="1">
      <c r="A369" s="12"/>
      <c r="B369" s="3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</row>
    <row r="370" ht="15.75" customHeight="1">
      <c r="A370" s="12"/>
      <c r="B370" s="3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</row>
    <row r="371" ht="15.75" customHeight="1">
      <c r="A371" s="12"/>
      <c r="B371" s="3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</row>
    <row r="372" ht="15.75" customHeight="1">
      <c r="A372" s="12"/>
      <c r="B372" s="3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</row>
    <row r="373" ht="15.75" customHeight="1">
      <c r="A373" s="12"/>
      <c r="B373" s="3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</row>
    <row r="374" ht="15.75" customHeight="1">
      <c r="A374" s="12"/>
      <c r="B374" s="3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</row>
    <row r="375" ht="15.75" customHeight="1">
      <c r="A375" s="12"/>
      <c r="B375" s="3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</row>
    <row r="376" ht="15.75" customHeight="1">
      <c r="A376" s="12"/>
      <c r="B376" s="3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</row>
    <row r="377" ht="15.75" customHeight="1">
      <c r="A377" s="12"/>
      <c r="B377" s="3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</row>
    <row r="378" ht="15.75" customHeight="1">
      <c r="A378" s="12"/>
      <c r="B378" s="3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</row>
    <row r="379" ht="15.75" customHeight="1">
      <c r="A379" s="12"/>
      <c r="B379" s="3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</row>
    <row r="380" ht="15.75" customHeight="1">
      <c r="A380" s="12"/>
      <c r="B380" s="3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</row>
    <row r="381" ht="15.75" customHeight="1">
      <c r="A381" s="12"/>
      <c r="B381" s="3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</row>
    <row r="382" ht="15.75" customHeight="1">
      <c r="A382" s="12"/>
      <c r="B382" s="3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</row>
    <row r="383" ht="15.75" customHeight="1">
      <c r="A383" s="12"/>
      <c r="B383" s="3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</row>
    <row r="384" ht="15.75" customHeight="1">
      <c r="A384" s="12"/>
      <c r="B384" s="3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</row>
    <row r="385" ht="15.75" customHeight="1">
      <c r="A385" s="12"/>
      <c r="B385" s="3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</row>
    <row r="386" ht="15.75" customHeight="1">
      <c r="A386" s="12"/>
      <c r="B386" s="3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</row>
    <row r="387" ht="15.75" customHeight="1">
      <c r="A387" s="12"/>
      <c r="B387" s="3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</row>
    <row r="388" ht="15.75" customHeight="1">
      <c r="A388" s="12"/>
      <c r="B388" s="3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</row>
    <row r="389" ht="15.75" customHeight="1">
      <c r="A389" s="12"/>
      <c r="B389" s="3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</row>
    <row r="390" ht="15.75" customHeight="1">
      <c r="A390" s="12"/>
      <c r="B390" s="3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</row>
    <row r="391" ht="15.75" customHeight="1">
      <c r="A391" s="12"/>
      <c r="B391" s="3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</row>
    <row r="392" ht="15.75" customHeight="1">
      <c r="A392" s="12"/>
      <c r="B392" s="3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</row>
    <row r="393" ht="15.75" customHeight="1">
      <c r="A393" s="12"/>
      <c r="B393" s="3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</row>
    <row r="394" ht="15.75" customHeight="1">
      <c r="A394" s="12"/>
      <c r="B394" s="3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</row>
    <row r="395" ht="15.75" customHeight="1">
      <c r="A395" s="12"/>
      <c r="B395" s="3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</row>
    <row r="396" ht="15.75" customHeight="1">
      <c r="A396" s="12"/>
      <c r="B396" s="3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</row>
    <row r="397" ht="15.75" customHeight="1">
      <c r="A397" s="12"/>
      <c r="B397" s="3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</row>
    <row r="398" ht="15.75" customHeight="1">
      <c r="A398" s="12"/>
      <c r="B398" s="3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</row>
    <row r="399" ht="15.75" customHeight="1">
      <c r="A399" s="12"/>
      <c r="B399" s="3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</row>
    <row r="400" ht="15.75" customHeight="1">
      <c r="A400" s="12"/>
      <c r="B400" s="3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</row>
    <row r="401" ht="15.75" customHeight="1">
      <c r="A401" s="12"/>
      <c r="B401" s="3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</row>
    <row r="402" ht="15.75" customHeight="1">
      <c r="A402" s="12"/>
      <c r="B402" s="3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</row>
    <row r="403" ht="15.75" customHeight="1">
      <c r="A403" s="12"/>
      <c r="B403" s="3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</row>
    <row r="404" ht="15.75" customHeight="1">
      <c r="A404" s="12"/>
      <c r="B404" s="3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</row>
    <row r="405" ht="15.75" customHeight="1">
      <c r="A405" s="12"/>
      <c r="B405" s="3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</row>
    <row r="406" ht="15.75" customHeight="1">
      <c r="A406" s="12"/>
      <c r="B406" s="3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</row>
    <row r="407" ht="15.75" customHeight="1">
      <c r="A407" s="12"/>
      <c r="B407" s="3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</row>
    <row r="408" ht="15.75" customHeight="1">
      <c r="A408" s="12"/>
      <c r="B408" s="3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</row>
    <row r="409" ht="15.75" customHeight="1">
      <c r="A409" s="12"/>
      <c r="B409" s="3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</row>
    <row r="410" ht="15.75" customHeight="1">
      <c r="A410" s="12"/>
      <c r="B410" s="3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</row>
    <row r="411" ht="15.75" customHeight="1">
      <c r="A411" s="12"/>
      <c r="B411" s="3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</row>
    <row r="412" ht="15.75" customHeight="1">
      <c r="A412" s="12"/>
      <c r="B412" s="3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</row>
    <row r="413" ht="15.75" customHeight="1">
      <c r="A413" s="12"/>
      <c r="B413" s="3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</row>
    <row r="414" ht="15.75" customHeight="1">
      <c r="A414" s="12"/>
      <c r="B414" s="3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</row>
    <row r="415" ht="15.75" customHeight="1">
      <c r="A415" s="12"/>
      <c r="B415" s="3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</row>
    <row r="416" ht="15.75" customHeight="1">
      <c r="A416" s="12"/>
      <c r="B416" s="3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</row>
    <row r="417" ht="15.75" customHeight="1">
      <c r="A417" s="12"/>
      <c r="B417" s="3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</row>
    <row r="418" ht="15.75" customHeight="1">
      <c r="A418" s="12"/>
      <c r="B418" s="3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</row>
    <row r="419" ht="15.75" customHeight="1">
      <c r="A419" s="12"/>
      <c r="B419" s="3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</row>
    <row r="420" ht="15.75" customHeight="1">
      <c r="A420" s="12"/>
      <c r="B420" s="3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</row>
    <row r="421" ht="15.75" customHeight="1">
      <c r="A421" s="12"/>
      <c r="B421" s="3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</row>
    <row r="422" ht="15.75" customHeight="1">
      <c r="A422" s="12"/>
      <c r="B422" s="3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</row>
    <row r="423" ht="15.75" customHeight="1">
      <c r="A423" s="12"/>
      <c r="B423" s="3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</row>
    <row r="424" ht="15.75" customHeight="1">
      <c r="A424" s="12"/>
      <c r="B424" s="3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</row>
    <row r="425" ht="15.75" customHeight="1">
      <c r="A425" s="12"/>
      <c r="B425" s="3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</row>
    <row r="426" ht="15.75" customHeight="1">
      <c r="A426" s="12"/>
      <c r="B426" s="3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</row>
    <row r="427" ht="15.75" customHeight="1">
      <c r="A427" s="12"/>
      <c r="B427" s="3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</row>
    <row r="428" ht="15.75" customHeight="1">
      <c r="A428" s="12"/>
      <c r="B428" s="3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</row>
    <row r="429" ht="15.75" customHeight="1">
      <c r="A429" s="12"/>
      <c r="B429" s="3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</row>
    <row r="430" ht="15.75" customHeight="1">
      <c r="A430" s="12"/>
      <c r="B430" s="3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</row>
    <row r="431" ht="15.75" customHeight="1">
      <c r="A431" s="12"/>
      <c r="B431" s="3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</row>
    <row r="432" ht="15.75" customHeight="1">
      <c r="A432" s="12"/>
      <c r="B432" s="3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</row>
    <row r="433" ht="15.75" customHeight="1">
      <c r="A433" s="12"/>
      <c r="B433" s="3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</row>
    <row r="434" ht="15.75" customHeight="1">
      <c r="A434" s="12"/>
      <c r="B434" s="3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</row>
    <row r="435" ht="15.75" customHeight="1">
      <c r="A435" s="12"/>
      <c r="B435" s="3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</row>
    <row r="436" ht="15.75" customHeight="1">
      <c r="A436" s="12"/>
      <c r="B436" s="3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</row>
    <row r="437" ht="15.75" customHeight="1">
      <c r="A437" s="12"/>
      <c r="B437" s="3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</row>
    <row r="438" ht="15.75" customHeight="1">
      <c r="A438" s="12"/>
      <c r="B438" s="3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</row>
    <row r="439" ht="15.75" customHeight="1">
      <c r="A439" s="12"/>
      <c r="B439" s="3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</row>
    <row r="440" ht="15.75" customHeight="1">
      <c r="A440" s="12"/>
      <c r="B440" s="3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</row>
    <row r="441" ht="15.75" customHeight="1">
      <c r="A441" s="12"/>
      <c r="B441" s="3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</row>
    <row r="442" ht="15.75" customHeight="1">
      <c r="A442" s="12"/>
      <c r="B442" s="3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</row>
    <row r="443" ht="15.75" customHeight="1">
      <c r="A443" s="12"/>
      <c r="B443" s="3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</row>
    <row r="444" ht="15.75" customHeight="1">
      <c r="A444" s="12"/>
      <c r="B444" s="3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</row>
    <row r="445" ht="15.75" customHeight="1">
      <c r="A445" s="12"/>
      <c r="B445" s="3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</row>
    <row r="446" ht="15.75" customHeight="1">
      <c r="A446" s="12"/>
      <c r="B446" s="3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</row>
    <row r="447" ht="15.75" customHeight="1">
      <c r="A447" s="12"/>
      <c r="B447" s="3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</row>
    <row r="448" ht="15.75" customHeight="1">
      <c r="A448" s="12"/>
      <c r="B448" s="3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</row>
    <row r="449" ht="15.75" customHeight="1">
      <c r="A449" s="12"/>
      <c r="B449" s="3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</row>
    <row r="450" ht="15.75" customHeight="1">
      <c r="A450" s="12"/>
      <c r="B450" s="3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</row>
    <row r="451" ht="15.75" customHeight="1">
      <c r="A451" s="12"/>
      <c r="B451" s="3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</row>
    <row r="452" ht="15.75" customHeight="1">
      <c r="A452" s="12"/>
      <c r="B452" s="3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</row>
    <row r="453" ht="15.75" customHeight="1">
      <c r="A453" s="12"/>
      <c r="B453" s="3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</row>
    <row r="454" ht="15.75" customHeight="1">
      <c r="A454" s="12"/>
      <c r="B454" s="3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</row>
    <row r="455" ht="15.75" customHeight="1">
      <c r="A455" s="12"/>
      <c r="B455" s="3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</row>
    <row r="456" ht="15.75" customHeight="1">
      <c r="A456" s="12"/>
      <c r="B456" s="3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</row>
    <row r="457" ht="15.75" customHeight="1">
      <c r="A457" s="12"/>
      <c r="B457" s="3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</row>
    <row r="458" ht="15.75" customHeight="1">
      <c r="A458" s="12"/>
      <c r="B458" s="3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</row>
    <row r="459" ht="15.75" customHeight="1">
      <c r="A459" s="12"/>
      <c r="B459" s="3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</row>
    <row r="460" ht="15.75" customHeight="1">
      <c r="A460" s="12"/>
      <c r="B460" s="3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</row>
    <row r="461" ht="15.75" customHeight="1">
      <c r="A461" s="12"/>
      <c r="B461" s="3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</row>
    <row r="462" ht="15.75" customHeight="1">
      <c r="A462" s="12"/>
      <c r="B462" s="3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</row>
    <row r="463" ht="15.75" customHeight="1">
      <c r="A463" s="12"/>
      <c r="B463" s="3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</row>
    <row r="464" ht="15.75" customHeight="1">
      <c r="A464" s="12"/>
      <c r="B464" s="3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</row>
    <row r="465" ht="15.75" customHeight="1">
      <c r="A465" s="12"/>
      <c r="B465" s="3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</row>
    <row r="466" ht="15.75" customHeight="1">
      <c r="A466" s="12"/>
      <c r="B466" s="3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</row>
    <row r="467" ht="15.75" customHeight="1">
      <c r="A467" s="12"/>
      <c r="B467" s="3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</row>
    <row r="468" ht="15.75" customHeight="1">
      <c r="A468" s="12"/>
      <c r="B468" s="3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</row>
    <row r="469" ht="15.75" customHeight="1">
      <c r="A469" s="12"/>
      <c r="B469" s="3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</row>
    <row r="470" ht="15.75" customHeight="1">
      <c r="A470" s="12"/>
      <c r="B470" s="3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</row>
    <row r="471" ht="15.75" customHeight="1">
      <c r="A471" s="12"/>
      <c r="B471" s="3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</row>
    <row r="472" ht="15.75" customHeight="1">
      <c r="A472" s="12"/>
      <c r="B472" s="3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</row>
    <row r="473" ht="15.75" customHeight="1">
      <c r="A473" s="12"/>
      <c r="B473" s="3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</row>
    <row r="474" ht="15.75" customHeight="1">
      <c r="A474" s="12"/>
      <c r="B474" s="3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</row>
    <row r="475" ht="15.75" customHeight="1">
      <c r="A475" s="12"/>
      <c r="B475" s="3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</row>
    <row r="476" ht="15.75" customHeight="1">
      <c r="A476" s="12"/>
      <c r="B476" s="3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</row>
    <row r="477" ht="15.75" customHeight="1">
      <c r="A477" s="12"/>
      <c r="B477" s="3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</row>
    <row r="478" ht="15.75" customHeight="1">
      <c r="A478" s="12"/>
      <c r="B478" s="3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</row>
    <row r="479" ht="15.75" customHeight="1">
      <c r="A479" s="12"/>
      <c r="B479" s="3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</row>
    <row r="480" ht="15.75" customHeight="1">
      <c r="A480" s="12"/>
      <c r="B480" s="3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</row>
    <row r="481" ht="15.75" customHeight="1">
      <c r="A481" s="12"/>
      <c r="B481" s="3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</row>
    <row r="482" ht="15.75" customHeight="1">
      <c r="A482" s="12"/>
      <c r="B482" s="3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</row>
    <row r="483" ht="15.75" customHeight="1">
      <c r="A483" s="12"/>
      <c r="B483" s="3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</row>
    <row r="484" ht="15.75" customHeight="1">
      <c r="A484" s="12"/>
      <c r="B484" s="3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</row>
    <row r="485" ht="15.75" customHeight="1">
      <c r="A485" s="12"/>
      <c r="B485" s="3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</row>
    <row r="486" ht="15.75" customHeight="1">
      <c r="A486" s="12"/>
      <c r="B486" s="3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</row>
    <row r="487" ht="15.75" customHeight="1">
      <c r="A487" s="12"/>
      <c r="B487" s="3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</row>
    <row r="488" ht="15.75" customHeight="1">
      <c r="A488" s="12"/>
      <c r="B488" s="3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</row>
    <row r="489" ht="15.75" customHeight="1">
      <c r="A489" s="12"/>
      <c r="B489" s="3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</row>
    <row r="490" ht="15.75" customHeight="1">
      <c r="A490" s="12"/>
      <c r="B490" s="3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</row>
    <row r="491" ht="15.75" customHeight="1">
      <c r="A491" s="12"/>
      <c r="B491" s="3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</row>
    <row r="492" ht="15.75" customHeight="1">
      <c r="A492" s="12"/>
      <c r="B492" s="3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</row>
    <row r="493" ht="15.75" customHeight="1">
      <c r="A493" s="12"/>
      <c r="B493" s="3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</row>
    <row r="494" ht="15.75" customHeight="1">
      <c r="A494" s="12"/>
      <c r="B494" s="3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</row>
    <row r="495" ht="15.75" customHeight="1">
      <c r="A495" s="12"/>
      <c r="B495" s="3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</row>
    <row r="496" ht="15.75" customHeight="1">
      <c r="A496" s="12"/>
      <c r="B496" s="3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</row>
    <row r="497" ht="15.75" customHeight="1">
      <c r="A497" s="12"/>
      <c r="B497" s="3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</row>
    <row r="498" ht="15.75" customHeight="1">
      <c r="A498" s="12"/>
      <c r="B498" s="3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</row>
    <row r="499" ht="15.75" customHeight="1">
      <c r="A499" s="12"/>
      <c r="B499" s="3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</row>
    <row r="500" ht="15.75" customHeight="1">
      <c r="A500" s="12"/>
      <c r="B500" s="3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</row>
    <row r="501" ht="15.75" customHeight="1">
      <c r="A501" s="12"/>
      <c r="B501" s="3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</row>
    <row r="502" ht="15.75" customHeight="1">
      <c r="A502" s="12"/>
      <c r="B502" s="3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</row>
    <row r="503" ht="15.75" customHeight="1">
      <c r="A503" s="12"/>
      <c r="B503" s="3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</row>
    <row r="504" ht="15.75" customHeight="1">
      <c r="A504" s="12"/>
      <c r="B504" s="3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</row>
    <row r="505" ht="15.75" customHeight="1">
      <c r="A505" s="12"/>
      <c r="B505" s="3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</row>
    <row r="506" ht="15.75" customHeight="1">
      <c r="A506" s="12"/>
      <c r="B506" s="3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</row>
    <row r="507" ht="15.75" customHeight="1">
      <c r="A507" s="12"/>
      <c r="B507" s="3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</row>
    <row r="508" ht="15.75" customHeight="1">
      <c r="A508" s="12"/>
      <c r="B508" s="3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</row>
    <row r="509" ht="15.75" customHeight="1">
      <c r="A509" s="12"/>
      <c r="B509" s="3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</row>
    <row r="510" ht="15.75" customHeight="1">
      <c r="A510" s="12"/>
      <c r="B510" s="3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</row>
    <row r="511" ht="15.75" customHeight="1">
      <c r="A511" s="12"/>
      <c r="B511" s="3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</row>
    <row r="512" ht="15.75" customHeight="1">
      <c r="A512" s="12"/>
      <c r="B512" s="3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</row>
    <row r="513" ht="15.75" customHeight="1">
      <c r="A513" s="12"/>
      <c r="B513" s="3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</row>
    <row r="514" ht="15.75" customHeight="1">
      <c r="A514" s="12"/>
      <c r="B514" s="3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</row>
    <row r="515" ht="15.75" customHeight="1">
      <c r="A515" s="12"/>
      <c r="B515" s="3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</row>
    <row r="516" ht="15.75" customHeight="1">
      <c r="A516" s="12"/>
      <c r="B516" s="3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</row>
    <row r="517" ht="15.75" customHeight="1">
      <c r="A517" s="12"/>
      <c r="B517" s="3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</row>
    <row r="518" ht="15.75" customHeight="1">
      <c r="A518" s="12"/>
      <c r="B518" s="3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</row>
    <row r="519" ht="15.75" customHeight="1">
      <c r="A519" s="12"/>
      <c r="B519" s="3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</row>
    <row r="520" ht="15.75" customHeight="1">
      <c r="A520" s="12"/>
      <c r="B520" s="3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</row>
    <row r="521" ht="15.75" customHeight="1">
      <c r="A521" s="12"/>
      <c r="B521" s="3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</row>
    <row r="522" ht="15.75" customHeight="1">
      <c r="A522" s="12"/>
      <c r="B522" s="3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</row>
    <row r="523" ht="15.75" customHeight="1">
      <c r="A523" s="12"/>
      <c r="B523" s="3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</row>
    <row r="524" ht="15.75" customHeight="1">
      <c r="A524" s="12"/>
      <c r="B524" s="3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</row>
    <row r="525" ht="15.75" customHeight="1">
      <c r="A525" s="12"/>
      <c r="B525" s="3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</row>
    <row r="526" ht="15.75" customHeight="1">
      <c r="A526" s="12"/>
      <c r="B526" s="3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</row>
    <row r="527" ht="15.75" customHeight="1">
      <c r="A527" s="12"/>
      <c r="B527" s="3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</row>
    <row r="528" ht="15.75" customHeight="1">
      <c r="A528" s="12"/>
      <c r="B528" s="3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</row>
    <row r="529" ht="15.75" customHeight="1">
      <c r="A529" s="12"/>
      <c r="B529" s="3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</row>
    <row r="530" ht="15.75" customHeight="1">
      <c r="A530" s="12"/>
      <c r="B530" s="3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</row>
    <row r="531" ht="15.75" customHeight="1">
      <c r="A531" s="12"/>
      <c r="B531" s="3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</row>
    <row r="532" ht="15.75" customHeight="1">
      <c r="A532" s="12"/>
      <c r="B532" s="3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</row>
    <row r="533" ht="15.75" customHeight="1">
      <c r="A533" s="12"/>
      <c r="B533" s="3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</row>
    <row r="534" ht="15.75" customHeight="1">
      <c r="A534" s="12"/>
      <c r="B534" s="3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</row>
    <row r="535" ht="15.75" customHeight="1">
      <c r="A535" s="12"/>
      <c r="B535" s="3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</row>
    <row r="536" ht="15.75" customHeight="1">
      <c r="A536" s="12"/>
      <c r="B536" s="3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</row>
    <row r="537" ht="15.75" customHeight="1">
      <c r="A537" s="12"/>
      <c r="B537" s="3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</row>
    <row r="538" ht="15.75" customHeight="1">
      <c r="A538" s="12"/>
      <c r="B538" s="3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</row>
    <row r="539" ht="15.75" customHeight="1">
      <c r="A539" s="12"/>
      <c r="B539" s="3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</row>
    <row r="540" ht="15.75" customHeight="1">
      <c r="A540" s="12"/>
      <c r="B540" s="3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</row>
    <row r="541" ht="15.75" customHeight="1">
      <c r="A541" s="12"/>
      <c r="B541" s="3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</row>
    <row r="542" ht="15.75" customHeight="1">
      <c r="A542" s="12"/>
      <c r="B542" s="3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</row>
    <row r="543" ht="15.75" customHeight="1">
      <c r="A543" s="12"/>
      <c r="B543" s="3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</row>
    <row r="544" ht="15.75" customHeight="1">
      <c r="A544" s="12"/>
      <c r="B544" s="3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</row>
    <row r="545" ht="15.75" customHeight="1">
      <c r="A545" s="12"/>
      <c r="B545" s="3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</row>
    <row r="546" ht="15.75" customHeight="1">
      <c r="A546" s="12"/>
      <c r="B546" s="3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</row>
    <row r="547" ht="15.75" customHeight="1">
      <c r="A547" s="12"/>
      <c r="B547" s="3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</row>
    <row r="548" ht="15.75" customHeight="1">
      <c r="A548" s="12"/>
      <c r="B548" s="3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</row>
    <row r="549" ht="15.75" customHeight="1">
      <c r="A549" s="12"/>
      <c r="B549" s="3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</row>
    <row r="550" ht="15.75" customHeight="1">
      <c r="A550" s="12"/>
      <c r="B550" s="3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</row>
    <row r="551" ht="15.75" customHeight="1">
      <c r="A551" s="12"/>
      <c r="B551" s="3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</row>
    <row r="552" ht="15.75" customHeight="1">
      <c r="A552" s="12"/>
      <c r="B552" s="3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</row>
    <row r="553" ht="15.75" customHeight="1">
      <c r="A553" s="12"/>
      <c r="B553" s="3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</row>
    <row r="554" ht="15.75" customHeight="1">
      <c r="A554" s="12"/>
      <c r="B554" s="3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</row>
    <row r="555" ht="15.75" customHeight="1">
      <c r="A555" s="12"/>
      <c r="B555" s="3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</row>
    <row r="556" ht="15.75" customHeight="1">
      <c r="A556" s="12"/>
      <c r="B556" s="3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</row>
    <row r="557" ht="15.75" customHeight="1">
      <c r="A557" s="12"/>
      <c r="B557" s="3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</row>
    <row r="558" ht="15.75" customHeight="1">
      <c r="A558" s="12"/>
      <c r="B558" s="3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</row>
    <row r="559" ht="15.75" customHeight="1">
      <c r="A559" s="12"/>
      <c r="B559" s="3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</row>
    <row r="560" ht="15.75" customHeight="1">
      <c r="A560" s="12"/>
      <c r="B560" s="3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</row>
    <row r="561" ht="15.75" customHeight="1">
      <c r="A561" s="12"/>
      <c r="B561" s="3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</row>
    <row r="562" ht="15.75" customHeight="1">
      <c r="A562" s="12"/>
      <c r="B562" s="3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</row>
    <row r="563" ht="15.75" customHeight="1">
      <c r="A563" s="12"/>
      <c r="B563" s="3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</row>
    <row r="564" ht="15.75" customHeight="1">
      <c r="A564" s="12"/>
      <c r="B564" s="3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</row>
    <row r="565" ht="15.75" customHeight="1">
      <c r="A565" s="12"/>
      <c r="B565" s="3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</row>
    <row r="566" ht="15.75" customHeight="1">
      <c r="A566" s="12"/>
      <c r="B566" s="3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</row>
    <row r="567" ht="15.75" customHeight="1">
      <c r="A567" s="12"/>
      <c r="B567" s="3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</row>
    <row r="568" ht="15.75" customHeight="1">
      <c r="A568" s="12"/>
      <c r="B568" s="3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</row>
    <row r="569" ht="15.75" customHeight="1">
      <c r="A569" s="12"/>
      <c r="B569" s="3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</row>
    <row r="570" ht="15.75" customHeight="1">
      <c r="A570" s="12"/>
      <c r="B570" s="3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</row>
    <row r="571" ht="15.75" customHeight="1">
      <c r="A571" s="12"/>
      <c r="B571" s="3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</row>
    <row r="572" ht="15.75" customHeight="1">
      <c r="A572" s="12"/>
      <c r="B572" s="3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</row>
    <row r="573" ht="15.75" customHeight="1">
      <c r="A573" s="12"/>
      <c r="B573" s="3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</row>
    <row r="574" ht="15.75" customHeight="1">
      <c r="A574" s="12"/>
      <c r="B574" s="3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</row>
    <row r="575" ht="15.75" customHeight="1">
      <c r="A575" s="12"/>
      <c r="B575" s="3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</row>
    <row r="576" ht="15.75" customHeight="1">
      <c r="A576" s="12"/>
      <c r="B576" s="3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</row>
    <row r="577" ht="15.75" customHeight="1">
      <c r="A577" s="12"/>
      <c r="B577" s="3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</row>
    <row r="578" ht="15.75" customHeight="1">
      <c r="A578" s="12"/>
      <c r="B578" s="3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</row>
    <row r="579" ht="15.75" customHeight="1">
      <c r="A579" s="12"/>
      <c r="B579" s="3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</row>
    <row r="580" ht="15.75" customHeight="1">
      <c r="A580" s="12"/>
      <c r="B580" s="3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</row>
    <row r="581" ht="15.75" customHeight="1">
      <c r="A581" s="12"/>
      <c r="B581" s="3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</row>
    <row r="582" ht="15.75" customHeight="1">
      <c r="A582" s="12"/>
      <c r="B582" s="3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</row>
    <row r="583" ht="15.75" customHeight="1">
      <c r="A583" s="12"/>
      <c r="B583" s="3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</row>
    <row r="584" ht="15.75" customHeight="1">
      <c r="A584" s="12"/>
      <c r="B584" s="3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</row>
    <row r="585" ht="15.75" customHeight="1">
      <c r="A585" s="12"/>
      <c r="B585" s="3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</row>
    <row r="586" ht="15.75" customHeight="1">
      <c r="A586" s="12"/>
      <c r="B586" s="3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</row>
    <row r="587" ht="15.75" customHeight="1">
      <c r="A587" s="12"/>
      <c r="B587" s="3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</row>
    <row r="588" ht="15.75" customHeight="1">
      <c r="A588" s="12"/>
      <c r="B588" s="3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</row>
    <row r="589" ht="15.75" customHeight="1">
      <c r="A589" s="12"/>
      <c r="B589" s="3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</row>
    <row r="590" ht="15.75" customHeight="1">
      <c r="A590" s="12"/>
      <c r="B590" s="3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</row>
    <row r="591" ht="15.75" customHeight="1">
      <c r="A591" s="12"/>
      <c r="B591" s="3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</row>
    <row r="592" ht="15.75" customHeight="1">
      <c r="A592" s="12"/>
      <c r="B592" s="3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</row>
    <row r="593" ht="15.75" customHeight="1">
      <c r="A593" s="12"/>
      <c r="B593" s="3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</row>
    <row r="594" ht="15.75" customHeight="1">
      <c r="A594" s="12"/>
      <c r="B594" s="3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</row>
    <row r="595" ht="15.75" customHeight="1">
      <c r="A595" s="12"/>
      <c r="B595" s="3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</row>
    <row r="596" ht="15.75" customHeight="1">
      <c r="A596" s="12"/>
      <c r="B596" s="3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</row>
    <row r="597" ht="15.75" customHeight="1">
      <c r="A597" s="12"/>
      <c r="B597" s="3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</row>
    <row r="598" ht="15.75" customHeight="1">
      <c r="A598" s="12"/>
      <c r="B598" s="3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</row>
    <row r="599" ht="15.75" customHeight="1">
      <c r="A599" s="12"/>
      <c r="B599" s="3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</row>
    <row r="600" ht="15.75" customHeight="1">
      <c r="A600" s="12"/>
      <c r="B600" s="3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</row>
    <row r="601" ht="15.75" customHeight="1">
      <c r="A601" s="12"/>
      <c r="B601" s="3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</row>
    <row r="602" ht="15.75" customHeight="1">
      <c r="A602" s="12"/>
      <c r="B602" s="3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</row>
    <row r="603" ht="15.75" customHeight="1">
      <c r="A603" s="12"/>
      <c r="B603" s="3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</row>
    <row r="604" ht="15.75" customHeight="1">
      <c r="A604" s="12"/>
      <c r="B604" s="3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</row>
    <row r="605" ht="15.75" customHeight="1">
      <c r="A605" s="12"/>
      <c r="B605" s="3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</row>
    <row r="606" ht="15.75" customHeight="1">
      <c r="A606" s="12"/>
      <c r="B606" s="3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</row>
    <row r="607" ht="15.75" customHeight="1">
      <c r="A607" s="12"/>
      <c r="B607" s="3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</row>
    <row r="608" ht="15.75" customHeight="1">
      <c r="A608" s="12"/>
      <c r="B608" s="3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</row>
    <row r="609" ht="15.75" customHeight="1">
      <c r="A609" s="12"/>
      <c r="B609" s="3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</row>
    <row r="610" ht="15.75" customHeight="1">
      <c r="A610" s="12"/>
      <c r="B610" s="3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</row>
    <row r="611" ht="15.75" customHeight="1">
      <c r="A611" s="12"/>
      <c r="B611" s="3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</row>
    <row r="612" ht="15.75" customHeight="1">
      <c r="A612" s="12"/>
      <c r="B612" s="3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</row>
    <row r="613" ht="15.75" customHeight="1">
      <c r="A613" s="12"/>
      <c r="B613" s="3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</row>
    <row r="614" ht="15.75" customHeight="1">
      <c r="A614" s="12"/>
      <c r="B614" s="3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</row>
    <row r="615" ht="15.75" customHeight="1">
      <c r="A615" s="12"/>
      <c r="B615" s="3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</row>
    <row r="616" ht="15.75" customHeight="1">
      <c r="A616" s="12"/>
      <c r="B616" s="3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</row>
    <row r="617" ht="15.75" customHeight="1">
      <c r="A617" s="12"/>
      <c r="B617" s="3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</row>
    <row r="618" ht="15.75" customHeight="1">
      <c r="A618" s="12"/>
      <c r="B618" s="3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</row>
    <row r="619" ht="15.75" customHeight="1">
      <c r="A619" s="12"/>
      <c r="B619" s="3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</row>
    <row r="620" ht="15.75" customHeight="1">
      <c r="A620" s="12"/>
      <c r="B620" s="3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</row>
    <row r="621" ht="15.75" customHeight="1">
      <c r="A621" s="12"/>
      <c r="B621" s="3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</row>
    <row r="622" ht="15.75" customHeight="1">
      <c r="A622" s="12"/>
      <c r="B622" s="3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</row>
    <row r="623" ht="15.75" customHeight="1">
      <c r="A623" s="12"/>
      <c r="B623" s="3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</row>
    <row r="624" ht="15.75" customHeight="1">
      <c r="A624" s="12"/>
      <c r="B624" s="3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</row>
    <row r="625" ht="15.75" customHeight="1">
      <c r="A625" s="12"/>
      <c r="B625" s="3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</row>
    <row r="626" ht="15.75" customHeight="1">
      <c r="A626" s="12"/>
      <c r="B626" s="3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</row>
    <row r="627" ht="15.75" customHeight="1">
      <c r="A627" s="12"/>
      <c r="B627" s="3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</row>
    <row r="628" ht="15.75" customHeight="1">
      <c r="A628" s="12"/>
      <c r="B628" s="3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</row>
    <row r="629" ht="15.75" customHeight="1">
      <c r="A629" s="12"/>
      <c r="B629" s="3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</row>
    <row r="630" ht="15.75" customHeight="1">
      <c r="A630" s="12"/>
      <c r="B630" s="3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</row>
    <row r="631" ht="15.75" customHeight="1">
      <c r="A631" s="12"/>
      <c r="B631" s="3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</row>
    <row r="632" ht="15.75" customHeight="1">
      <c r="A632" s="12"/>
      <c r="B632" s="3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</row>
    <row r="633" ht="15.75" customHeight="1">
      <c r="A633" s="12"/>
      <c r="B633" s="3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</row>
    <row r="634" ht="15.75" customHeight="1">
      <c r="A634" s="12"/>
      <c r="B634" s="3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</row>
    <row r="635" ht="15.75" customHeight="1">
      <c r="A635" s="12"/>
      <c r="B635" s="3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</row>
    <row r="636" ht="15.75" customHeight="1">
      <c r="A636" s="12"/>
      <c r="B636" s="3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</row>
    <row r="637" ht="15.75" customHeight="1">
      <c r="A637" s="12"/>
      <c r="B637" s="3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</row>
    <row r="638" ht="15.75" customHeight="1">
      <c r="A638" s="12"/>
      <c r="B638" s="3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</row>
    <row r="639" ht="15.75" customHeight="1">
      <c r="A639" s="12"/>
      <c r="B639" s="3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</row>
    <row r="640" ht="15.75" customHeight="1">
      <c r="A640" s="12"/>
      <c r="B640" s="3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</row>
    <row r="641" ht="15.75" customHeight="1">
      <c r="A641" s="12"/>
      <c r="B641" s="3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</row>
    <row r="642" ht="15.75" customHeight="1">
      <c r="A642" s="12"/>
      <c r="B642" s="3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</row>
    <row r="643" ht="15.75" customHeight="1">
      <c r="A643" s="12"/>
      <c r="B643" s="3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</row>
    <row r="644" ht="15.75" customHeight="1">
      <c r="A644" s="12"/>
      <c r="B644" s="3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</row>
    <row r="645" ht="15.75" customHeight="1">
      <c r="A645" s="12"/>
      <c r="B645" s="3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</row>
    <row r="646" ht="15.75" customHeight="1">
      <c r="A646" s="12"/>
      <c r="B646" s="3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</row>
    <row r="647" ht="15.75" customHeight="1">
      <c r="A647" s="12"/>
      <c r="B647" s="3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</row>
    <row r="648" ht="15.75" customHeight="1">
      <c r="A648" s="12"/>
      <c r="B648" s="3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</row>
    <row r="649" ht="15.75" customHeight="1">
      <c r="A649" s="12"/>
      <c r="B649" s="3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</row>
    <row r="650" ht="15.75" customHeight="1">
      <c r="A650" s="12"/>
      <c r="B650" s="3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</row>
    <row r="651" ht="15.75" customHeight="1">
      <c r="A651" s="12"/>
      <c r="B651" s="3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</row>
    <row r="652" ht="15.75" customHeight="1">
      <c r="A652" s="12"/>
      <c r="B652" s="3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</row>
    <row r="653" ht="15.75" customHeight="1">
      <c r="A653" s="12"/>
      <c r="B653" s="3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</row>
    <row r="654" ht="15.75" customHeight="1">
      <c r="A654" s="12"/>
      <c r="B654" s="3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</row>
    <row r="655" ht="15.75" customHeight="1">
      <c r="A655" s="12"/>
      <c r="B655" s="3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</row>
    <row r="656" ht="15.75" customHeight="1">
      <c r="A656" s="12"/>
      <c r="B656" s="3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</row>
    <row r="657" ht="15.75" customHeight="1">
      <c r="A657" s="12"/>
      <c r="B657" s="3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</row>
    <row r="658" ht="15.75" customHeight="1">
      <c r="A658" s="12"/>
      <c r="B658" s="3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</row>
    <row r="659" ht="15.75" customHeight="1">
      <c r="A659" s="12"/>
      <c r="B659" s="3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</row>
    <row r="660" ht="15.75" customHeight="1">
      <c r="A660" s="12"/>
      <c r="B660" s="3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</row>
    <row r="661" ht="15.75" customHeight="1">
      <c r="A661" s="12"/>
      <c r="B661" s="3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</row>
    <row r="662" ht="15.75" customHeight="1">
      <c r="A662" s="12"/>
      <c r="B662" s="3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</row>
    <row r="663" ht="15.75" customHeight="1">
      <c r="A663" s="12"/>
      <c r="B663" s="3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</row>
    <row r="664" ht="15.75" customHeight="1">
      <c r="A664" s="12"/>
      <c r="B664" s="3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</row>
    <row r="665" ht="15.75" customHeight="1">
      <c r="A665" s="12"/>
      <c r="B665" s="3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</row>
    <row r="666" ht="15.75" customHeight="1">
      <c r="A666" s="12"/>
      <c r="B666" s="3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</row>
    <row r="667" ht="15.75" customHeight="1">
      <c r="A667" s="12"/>
      <c r="B667" s="3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</row>
    <row r="668" ht="15.75" customHeight="1">
      <c r="A668" s="12"/>
      <c r="B668" s="3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</row>
    <row r="669" ht="15.75" customHeight="1">
      <c r="A669" s="12"/>
      <c r="B669" s="3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</row>
    <row r="670" ht="15.75" customHeight="1">
      <c r="A670" s="12"/>
      <c r="B670" s="3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</row>
    <row r="671" ht="15.75" customHeight="1">
      <c r="A671" s="12"/>
      <c r="B671" s="3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</row>
    <row r="672" ht="15.75" customHeight="1">
      <c r="A672" s="12"/>
      <c r="B672" s="3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</row>
    <row r="673" ht="15.75" customHeight="1">
      <c r="A673" s="12"/>
      <c r="B673" s="3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</row>
    <row r="674" ht="15.75" customHeight="1">
      <c r="A674" s="12"/>
      <c r="B674" s="3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</row>
    <row r="675" ht="15.75" customHeight="1">
      <c r="A675" s="12"/>
      <c r="B675" s="3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</row>
    <row r="676" ht="15.75" customHeight="1">
      <c r="A676" s="12"/>
      <c r="B676" s="3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</row>
    <row r="677" ht="15.75" customHeight="1">
      <c r="A677" s="12"/>
      <c r="B677" s="3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</row>
    <row r="678" ht="15.75" customHeight="1">
      <c r="A678" s="12"/>
      <c r="B678" s="3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</row>
    <row r="679" ht="15.75" customHeight="1">
      <c r="A679" s="12"/>
      <c r="B679" s="3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</row>
    <row r="680" ht="15.75" customHeight="1">
      <c r="A680" s="12"/>
      <c r="B680" s="3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</row>
    <row r="681" ht="15.75" customHeight="1">
      <c r="A681" s="12"/>
      <c r="B681" s="3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</row>
    <row r="682" ht="15.75" customHeight="1">
      <c r="A682" s="12"/>
      <c r="B682" s="3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</row>
    <row r="683" ht="15.75" customHeight="1">
      <c r="A683" s="12"/>
      <c r="B683" s="3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</row>
    <row r="684" ht="15.75" customHeight="1">
      <c r="A684" s="12"/>
      <c r="B684" s="3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</row>
    <row r="685" ht="15.75" customHeight="1">
      <c r="A685" s="12"/>
      <c r="B685" s="3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</row>
    <row r="686" ht="15.75" customHeight="1">
      <c r="A686" s="12"/>
      <c r="B686" s="3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</row>
    <row r="687" ht="15.75" customHeight="1">
      <c r="A687" s="12"/>
      <c r="B687" s="3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</row>
    <row r="688" ht="15.75" customHeight="1">
      <c r="A688" s="12"/>
      <c r="B688" s="3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</row>
    <row r="689" ht="15.75" customHeight="1">
      <c r="A689" s="12"/>
      <c r="B689" s="3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</row>
    <row r="690" ht="15.75" customHeight="1">
      <c r="A690" s="12"/>
      <c r="B690" s="3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</row>
    <row r="691" ht="15.75" customHeight="1">
      <c r="A691" s="12"/>
      <c r="B691" s="3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</row>
    <row r="692" ht="15.75" customHeight="1">
      <c r="A692" s="12"/>
      <c r="B692" s="3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</row>
    <row r="693" ht="15.75" customHeight="1">
      <c r="A693" s="12"/>
      <c r="B693" s="3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</row>
    <row r="694" ht="15.75" customHeight="1">
      <c r="A694" s="12"/>
      <c r="B694" s="3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</row>
    <row r="695" ht="15.75" customHeight="1">
      <c r="A695" s="12"/>
      <c r="B695" s="3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</row>
    <row r="696" ht="15.75" customHeight="1">
      <c r="A696" s="12"/>
      <c r="B696" s="3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</row>
    <row r="697" ht="15.75" customHeight="1">
      <c r="A697" s="12"/>
      <c r="B697" s="3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</row>
    <row r="698" ht="15.75" customHeight="1">
      <c r="A698" s="12"/>
      <c r="B698" s="3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</row>
    <row r="699" ht="15.75" customHeight="1">
      <c r="A699" s="12"/>
      <c r="B699" s="3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</row>
    <row r="700" ht="15.75" customHeight="1">
      <c r="A700" s="12"/>
      <c r="B700" s="3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</row>
    <row r="701" ht="15.75" customHeight="1">
      <c r="A701" s="12"/>
      <c r="B701" s="3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</row>
    <row r="702" ht="15.75" customHeight="1">
      <c r="A702" s="12"/>
      <c r="B702" s="3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</row>
    <row r="703" ht="15.75" customHeight="1">
      <c r="A703" s="12"/>
      <c r="B703" s="3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</row>
    <row r="704" ht="15.75" customHeight="1">
      <c r="A704" s="12"/>
      <c r="B704" s="3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</row>
    <row r="705" ht="15.75" customHeight="1">
      <c r="A705" s="12"/>
      <c r="B705" s="3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</row>
    <row r="706" ht="15.75" customHeight="1">
      <c r="A706" s="12"/>
      <c r="B706" s="3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</row>
    <row r="707" ht="15.75" customHeight="1">
      <c r="A707" s="12"/>
      <c r="B707" s="3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</row>
    <row r="708" ht="15.75" customHeight="1">
      <c r="A708" s="12"/>
      <c r="B708" s="3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</row>
    <row r="709" ht="15.75" customHeight="1">
      <c r="A709" s="12"/>
      <c r="B709" s="3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</row>
    <row r="710" ht="15.75" customHeight="1">
      <c r="A710" s="12"/>
      <c r="B710" s="3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</row>
    <row r="711" ht="15.75" customHeight="1">
      <c r="A711" s="12"/>
      <c r="B711" s="3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</row>
    <row r="712" ht="15.75" customHeight="1">
      <c r="A712" s="12"/>
      <c r="B712" s="3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</row>
    <row r="713" ht="15.75" customHeight="1">
      <c r="A713" s="12"/>
      <c r="B713" s="3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</row>
    <row r="714" ht="15.75" customHeight="1">
      <c r="A714" s="12"/>
      <c r="B714" s="3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</row>
    <row r="715" ht="15.75" customHeight="1">
      <c r="A715" s="12"/>
      <c r="B715" s="3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</row>
    <row r="716" ht="15.75" customHeight="1">
      <c r="A716" s="12"/>
      <c r="B716" s="3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</row>
    <row r="717" ht="15.75" customHeight="1">
      <c r="A717" s="12"/>
      <c r="B717" s="3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</row>
    <row r="718" ht="15.75" customHeight="1">
      <c r="A718" s="12"/>
      <c r="B718" s="3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</row>
    <row r="719" ht="15.75" customHeight="1">
      <c r="A719" s="12"/>
      <c r="B719" s="3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</row>
    <row r="720" ht="15.75" customHeight="1">
      <c r="A720" s="12"/>
      <c r="B720" s="3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</row>
    <row r="721" ht="15.75" customHeight="1">
      <c r="A721" s="12"/>
      <c r="B721" s="3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</row>
    <row r="722" ht="15.75" customHeight="1">
      <c r="A722" s="12"/>
      <c r="B722" s="3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</row>
    <row r="723" ht="15.75" customHeight="1">
      <c r="A723" s="12"/>
      <c r="B723" s="3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</row>
    <row r="724" ht="15.75" customHeight="1">
      <c r="A724" s="12"/>
      <c r="B724" s="3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</row>
    <row r="725" ht="15.75" customHeight="1">
      <c r="A725" s="12"/>
      <c r="B725" s="3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</row>
    <row r="726" ht="15.75" customHeight="1">
      <c r="A726" s="12"/>
      <c r="B726" s="3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</row>
    <row r="727" ht="15.75" customHeight="1">
      <c r="A727" s="12"/>
      <c r="B727" s="3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</row>
    <row r="728" ht="15.75" customHeight="1">
      <c r="A728" s="12"/>
      <c r="B728" s="3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</row>
    <row r="729" ht="15.75" customHeight="1">
      <c r="A729" s="12"/>
      <c r="B729" s="3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</row>
    <row r="730" ht="15.75" customHeight="1">
      <c r="A730" s="12"/>
      <c r="B730" s="3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</row>
    <row r="731" ht="15.75" customHeight="1">
      <c r="A731" s="12"/>
      <c r="B731" s="3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</row>
    <row r="732" ht="15.75" customHeight="1">
      <c r="A732" s="12"/>
      <c r="B732" s="3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</row>
    <row r="733" ht="15.75" customHeight="1">
      <c r="A733" s="12"/>
      <c r="B733" s="3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</row>
    <row r="734" ht="15.75" customHeight="1">
      <c r="A734" s="12"/>
      <c r="B734" s="3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</row>
    <row r="735" ht="15.75" customHeight="1">
      <c r="A735" s="12"/>
      <c r="B735" s="3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</row>
    <row r="736" ht="15.75" customHeight="1">
      <c r="A736" s="12"/>
      <c r="B736" s="3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</row>
    <row r="737" ht="15.75" customHeight="1">
      <c r="A737" s="12"/>
      <c r="B737" s="3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</row>
    <row r="738" ht="15.75" customHeight="1">
      <c r="A738" s="12"/>
      <c r="B738" s="3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</row>
    <row r="739" ht="15.75" customHeight="1">
      <c r="A739" s="12"/>
      <c r="B739" s="3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</row>
    <row r="740" ht="15.75" customHeight="1">
      <c r="A740" s="12"/>
      <c r="B740" s="3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</row>
    <row r="741" ht="15.75" customHeight="1">
      <c r="A741" s="12"/>
      <c r="B741" s="3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</row>
    <row r="742" ht="15.75" customHeight="1">
      <c r="A742" s="12"/>
      <c r="B742" s="3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</row>
    <row r="743" ht="15.75" customHeight="1">
      <c r="A743" s="12"/>
      <c r="B743" s="3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</row>
    <row r="744" ht="15.75" customHeight="1">
      <c r="A744" s="12"/>
      <c r="B744" s="3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</row>
    <row r="745" ht="15.75" customHeight="1">
      <c r="A745" s="12"/>
      <c r="B745" s="3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</row>
    <row r="746" ht="15.75" customHeight="1">
      <c r="A746" s="12"/>
      <c r="B746" s="3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</row>
    <row r="747" ht="15.75" customHeight="1">
      <c r="A747" s="12"/>
      <c r="B747" s="3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</row>
    <row r="748" ht="15.75" customHeight="1">
      <c r="A748" s="12"/>
      <c r="B748" s="3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</row>
    <row r="749" ht="15.75" customHeight="1">
      <c r="A749" s="12"/>
      <c r="B749" s="3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</row>
    <row r="750" ht="15.75" customHeight="1">
      <c r="A750" s="12"/>
      <c r="B750" s="3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</row>
    <row r="751" ht="15.75" customHeight="1">
      <c r="A751" s="12"/>
      <c r="B751" s="3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</row>
    <row r="752" ht="15.75" customHeight="1">
      <c r="A752" s="12"/>
      <c r="B752" s="3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</row>
    <row r="753" ht="15.75" customHeight="1">
      <c r="A753" s="12"/>
      <c r="B753" s="3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</row>
    <row r="754" ht="15.75" customHeight="1">
      <c r="A754" s="12"/>
      <c r="B754" s="3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</row>
    <row r="755" ht="15.75" customHeight="1">
      <c r="A755" s="12"/>
      <c r="B755" s="3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</row>
    <row r="756" ht="15.75" customHeight="1">
      <c r="A756" s="12"/>
      <c r="B756" s="3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</row>
    <row r="757" ht="15.75" customHeight="1">
      <c r="A757" s="12"/>
      <c r="B757" s="3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</row>
    <row r="758" ht="15.75" customHeight="1">
      <c r="A758" s="12"/>
      <c r="B758" s="3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</row>
    <row r="759" ht="15.75" customHeight="1">
      <c r="A759" s="12"/>
      <c r="B759" s="3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</row>
    <row r="760" ht="15.75" customHeight="1">
      <c r="A760" s="12"/>
      <c r="B760" s="3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</row>
    <row r="761" ht="15.75" customHeight="1">
      <c r="A761" s="12"/>
      <c r="B761" s="3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</row>
    <row r="762" ht="15.75" customHeight="1">
      <c r="A762" s="12"/>
      <c r="B762" s="3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</row>
    <row r="763" ht="15.75" customHeight="1">
      <c r="A763" s="12"/>
      <c r="B763" s="3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</row>
    <row r="764" ht="15.75" customHeight="1">
      <c r="A764" s="12"/>
      <c r="B764" s="3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</row>
    <row r="765" ht="15.75" customHeight="1">
      <c r="A765" s="12"/>
      <c r="B765" s="3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</row>
    <row r="766" ht="15.75" customHeight="1">
      <c r="A766" s="12"/>
      <c r="B766" s="3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</row>
    <row r="767" ht="15.75" customHeight="1">
      <c r="A767" s="12"/>
      <c r="B767" s="3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</row>
    <row r="768" ht="15.75" customHeight="1">
      <c r="A768" s="12"/>
      <c r="B768" s="3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</row>
    <row r="769" ht="15.75" customHeight="1">
      <c r="A769" s="12"/>
      <c r="B769" s="3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</row>
    <row r="770" ht="15.75" customHeight="1">
      <c r="A770" s="12"/>
      <c r="B770" s="3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</row>
    <row r="771" ht="15.75" customHeight="1">
      <c r="A771" s="12"/>
      <c r="B771" s="3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</row>
    <row r="772" ht="15.75" customHeight="1">
      <c r="A772" s="12"/>
      <c r="B772" s="3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</row>
    <row r="773" ht="15.75" customHeight="1">
      <c r="A773" s="12"/>
      <c r="B773" s="3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</row>
    <row r="774" ht="15.75" customHeight="1">
      <c r="A774" s="12"/>
      <c r="B774" s="3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</row>
    <row r="775" ht="15.75" customHeight="1">
      <c r="A775" s="12"/>
      <c r="B775" s="3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</row>
    <row r="776" ht="15.75" customHeight="1">
      <c r="A776" s="12"/>
      <c r="B776" s="3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</row>
    <row r="777" ht="15.75" customHeight="1">
      <c r="A777" s="12"/>
      <c r="B777" s="3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</row>
    <row r="778" ht="15.75" customHeight="1">
      <c r="A778" s="12"/>
      <c r="B778" s="3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</row>
    <row r="779" ht="15.75" customHeight="1">
      <c r="A779" s="12"/>
      <c r="B779" s="3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</row>
    <row r="780" ht="15.75" customHeight="1">
      <c r="A780" s="12"/>
      <c r="B780" s="3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</row>
    <row r="781" ht="15.75" customHeight="1">
      <c r="A781" s="12"/>
      <c r="B781" s="3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</row>
    <row r="782" ht="15.75" customHeight="1">
      <c r="A782" s="12"/>
      <c r="B782" s="3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</row>
    <row r="783" ht="15.75" customHeight="1">
      <c r="A783" s="12"/>
      <c r="B783" s="3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</row>
    <row r="784" ht="15.75" customHeight="1">
      <c r="A784" s="12"/>
      <c r="B784" s="3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</row>
    <row r="785" ht="15.75" customHeight="1">
      <c r="A785" s="12"/>
      <c r="B785" s="3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</row>
    <row r="786" ht="15.75" customHeight="1">
      <c r="A786" s="12"/>
      <c r="B786" s="3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</row>
    <row r="787" ht="15.75" customHeight="1">
      <c r="A787" s="12"/>
      <c r="B787" s="3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</row>
    <row r="788" ht="15.75" customHeight="1">
      <c r="A788" s="12"/>
      <c r="B788" s="3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</row>
    <row r="789" ht="15.75" customHeight="1">
      <c r="A789" s="12"/>
      <c r="B789" s="3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</row>
    <row r="790" ht="15.75" customHeight="1">
      <c r="A790" s="12"/>
      <c r="B790" s="3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</row>
    <row r="791" ht="15.75" customHeight="1">
      <c r="A791" s="12"/>
      <c r="B791" s="3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</row>
    <row r="792" ht="15.75" customHeight="1">
      <c r="A792" s="12"/>
      <c r="B792" s="3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</row>
    <row r="793" ht="15.75" customHeight="1">
      <c r="A793" s="12"/>
      <c r="B793" s="3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</row>
    <row r="794" ht="15.75" customHeight="1">
      <c r="A794" s="12"/>
      <c r="B794" s="3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</row>
    <row r="795" ht="15.75" customHeight="1">
      <c r="A795" s="12"/>
      <c r="B795" s="3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</row>
    <row r="796" ht="15.75" customHeight="1">
      <c r="A796" s="12"/>
      <c r="B796" s="3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</row>
    <row r="797" ht="15.75" customHeight="1">
      <c r="A797" s="12"/>
      <c r="B797" s="3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</row>
    <row r="798" ht="15.75" customHeight="1">
      <c r="A798" s="12"/>
      <c r="B798" s="3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</row>
    <row r="799" ht="15.75" customHeight="1">
      <c r="A799" s="12"/>
      <c r="B799" s="3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</row>
    <row r="800" ht="15.75" customHeight="1">
      <c r="A800" s="12"/>
      <c r="B800" s="3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</row>
    <row r="801" ht="15.75" customHeight="1">
      <c r="A801" s="12"/>
      <c r="B801" s="3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</row>
    <row r="802" ht="15.75" customHeight="1">
      <c r="A802" s="12"/>
      <c r="B802" s="3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</row>
    <row r="803" ht="15.75" customHeight="1">
      <c r="A803" s="12"/>
      <c r="B803" s="3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</row>
    <row r="804" ht="15.75" customHeight="1">
      <c r="A804" s="12"/>
      <c r="B804" s="3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</row>
    <row r="805" ht="15.75" customHeight="1">
      <c r="A805" s="12"/>
      <c r="B805" s="3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</row>
    <row r="806" ht="15.75" customHeight="1">
      <c r="A806" s="12"/>
      <c r="B806" s="3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</row>
    <row r="807" ht="15.75" customHeight="1">
      <c r="A807" s="12"/>
      <c r="B807" s="3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</row>
    <row r="808" ht="15.75" customHeight="1">
      <c r="A808" s="12"/>
      <c r="B808" s="3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</row>
    <row r="809" ht="15.75" customHeight="1">
      <c r="A809" s="12"/>
      <c r="B809" s="3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</row>
    <row r="810" ht="15.75" customHeight="1">
      <c r="A810" s="12"/>
      <c r="B810" s="3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</row>
    <row r="811" ht="15.75" customHeight="1">
      <c r="A811" s="12"/>
      <c r="B811" s="3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</row>
    <row r="812" ht="15.75" customHeight="1">
      <c r="A812" s="12"/>
      <c r="B812" s="3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</row>
    <row r="813" ht="15.75" customHeight="1">
      <c r="A813" s="12"/>
      <c r="B813" s="3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</row>
    <row r="814" ht="15.75" customHeight="1">
      <c r="A814" s="12"/>
      <c r="B814" s="3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</row>
    <row r="815" ht="15.75" customHeight="1">
      <c r="A815" s="12"/>
      <c r="B815" s="3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</row>
    <row r="816" ht="15.75" customHeight="1">
      <c r="A816" s="12"/>
      <c r="B816" s="3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</row>
    <row r="817" ht="15.75" customHeight="1">
      <c r="A817" s="12"/>
      <c r="B817" s="3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</row>
    <row r="818" ht="15.75" customHeight="1">
      <c r="A818" s="12"/>
      <c r="B818" s="3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</row>
    <row r="819" ht="15.75" customHeight="1">
      <c r="A819" s="12"/>
      <c r="B819" s="3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</row>
    <row r="820" ht="15.75" customHeight="1">
      <c r="A820" s="12"/>
      <c r="B820" s="3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</row>
    <row r="821" ht="15.75" customHeight="1">
      <c r="A821" s="12"/>
      <c r="B821" s="3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</row>
    <row r="822" ht="15.75" customHeight="1">
      <c r="A822" s="12"/>
      <c r="B822" s="3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</row>
    <row r="823" ht="15.75" customHeight="1">
      <c r="A823" s="12"/>
      <c r="B823" s="3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</row>
    <row r="824" ht="15.75" customHeight="1">
      <c r="A824" s="12"/>
      <c r="B824" s="3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</row>
    <row r="825" ht="15.75" customHeight="1">
      <c r="A825" s="12"/>
      <c r="B825" s="3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</row>
    <row r="826" ht="15.75" customHeight="1">
      <c r="A826" s="12"/>
      <c r="B826" s="3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</row>
    <row r="827" ht="15.75" customHeight="1">
      <c r="A827" s="12"/>
      <c r="B827" s="3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</row>
    <row r="828" ht="15.75" customHeight="1">
      <c r="A828" s="12"/>
      <c r="B828" s="3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</row>
    <row r="829" ht="15.75" customHeight="1">
      <c r="A829" s="12"/>
      <c r="B829" s="3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</row>
    <row r="830" ht="15.75" customHeight="1">
      <c r="A830" s="12"/>
      <c r="B830" s="3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</row>
    <row r="831" ht="15.75" customHeight="1">
      <c r="A831" s="12"/>
      <c r="B831" s="3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</row>
    <row r="832" ht="15.75" customHeight="1">
      <c r="A832" s="12"/>
      <c r="B832" s="3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</row>
    <row r="833" ht="15.75" customHeight="1">
      <c r="A833" s="12"/>
      <c r="B833" s="3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</row>
    <row r="834" ht="15.75" customHeight="1">
      <c r="A834" s="12"/>
      <c r="B834" s="3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</row>
    <row r="835" ht="15.75" customHeight="1">
      <c r="A835" s="12"/>
      <c r="B835" s="3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</row>
    <row r="836" ht="15.75" customHeight="1">
      <c r="A836" s="12"/>
      <c r="B836" s="3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</row>
    <row r="837" ht="15.75" customHeight="1">
      <c r="A837" s="12"/>
      <c r="B837" s="3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</row>
    <row r="838" ht="15.75" customHeight="1">
      <c r="A838" s="12"/>
      <c r="B838" s="3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</row>
    <row r="839" ht="15.75" customHeight="1">
      <c r="A839" s="12"/>
      <c r="B839" s="3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</row>
    <row r="840" ht="15.75" customHeight="1">
      <c r="A840" s="12"/>
      <c r="B840" s="3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</row>
    <row r="841" ht="15.75" customHeight="1">
      <c r="A841" s="12"/>
      <c r="B841" s="3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</row>
    <row r="842" ht="15.75" customHeight="1">
      <c r="A842" s="12"/>
      <c r="B842" s="3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</row>
    <row r="843" ht="15.75" customHeight="1">
      <c r="A843" s="12"/>
      <c r="B843" s="3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</row>
    <row r="844" ht="15.75" customHeight="1">
      <c r="A844" s="12"/>
      <c r="B844" s="3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</row>
    <row r="845" ht="15.75" customHeight="1">
      <c r="A845" s="12"/>
      <c r="B845" s="3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</row>
    <row r="846" ht="15.75" customHeight="1">
      <c r="A846" s="12"/>
      <c r="B846" s="3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</row>
    <row r="847" ht="15.75" customHeight="1">
      <c r="A847" s="12"/>
      <c r="B847" s="3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</row>
    <row r="848" ht="15.75" customHeight="1">
      <c r="A848" s="12"/>
      <c r="B848" s="3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</row>
    <row r="849" ht="15.75" customHeight="1">
      <c r="A849" s="12"/>
      <c r="B849" s="3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</row>
    <row r="850" ht="15.75" customHeight="1">
      <c r="A850" s="12"/>
      <c r="B850" s="3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</row>
    <row r="851" ht="15.75" customHeight="1">
      <c r="A851" s="12"/>
      <c r="B851" s="3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</row>
    <row r="852" ht="15.75" customHeight="1">
      <c r="A852" s="12"/>
      <c r="B852" s="3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</row>
    <row r="853" ht="15.75" customHeight="1">
      <c r="A853" s="12"/>
      <c r="B853" s="3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</row>
    <row r="854" ht="15.75" customHeight="1">
      <c r="A854" s="12"/>
      <c r="B854" s="3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</row>
    <row r="855" ht="15.75" customHeight="1">
      <c r="A855" s="12"/>
      <c r="B855" s="3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</row>
    <row r="856" ht="15.75" customHeight="1">
      <c r="A856" s="12"/>
      <c r="B856" s="3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</row>
    <row r="857" ht="15.75" customHeight="1">
      <c r="A857" s="12"/>
      <c r="B857" s="3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</row>
    <row r="858" ht="15.75" customHeight="1">
      <c r="A858" s="12"/>
      <c r="B858" s="3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</row>
    <row r="859" ht="15.75" customHeight="1">
      <c r="A859" s="12"/>
      <c r="B859" s="3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</row>
    <row r="860" ht="15.75" customHeight="1">
      <c r="A860" s="12"/>
      <c r="B860" s="3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</row>
    <row r="861" ht="15.75" customHeight="1">
      <c r="A861" s="12"/>
      <c r="B861" s="3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</row>
    <row r="862" ht="15.75" customHeight="1">
      <c r="A862" s="12"/>
      <c r="B862" s="3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</row>
    <row r="863" ht="15.75" customHeight="1">
      <c r="A863" s="12"/>
      <c r="B863" s="3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</row>
    <row r="864" ht="15.75" customHeight="1">
      <c r="A864" s="12"/>
      <c r="B864" s="3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</row>
    <row r="865" ht="15.75" customHeight="1">
      <c r="A865" s="12"/>
      <c r="B865" s="3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</row>
    <row r="866" ht="15.75" customHeight="1">
      <c r="A866" s="12"/>
      <c r="B866" s="3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</row>
    <row r="867" ht="15.75" customHeight="1">
      <c r="A867" s="12"/>
      <c r="B867" s="3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</row>
    <row r="868" ht="15.75" customHeight="1">
      <c r="A868" s="12"/>
      <c r="B868" s="3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</row>
    <row r="869" ht="15.75" customHeight="1">
      <c r="A869" s="12"/>
      <c r="B869" s="3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</row>
    <row r="870" ht="15.75" customHeight="1">
      <c r="A870" s="12"/>
      <c r="B870" s="3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</row>
    <row r="871" ht="15.75" customHeight="1">
      <c r="A871" s="12"/>
      <c r="B871" s="3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</row>
    <row r="872" ht="15.75" customHeight="1">
      <c r="A872" s="12"/>
      <c r="B872" s="3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</row>
    <row r="873" ht="15.75" customHeight="1">
      <c r="A873" s="12"/>
      <c r="B873" s="3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</row>
    <row r="874" ht="15.75" customHeight="1">
      <c r="A874" s="12"/>
      <c r="B874" s="3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</row>
    <row r="875" ht="15.75" customHeight="1">
      <c r="A875" s="12"/>
      <c r="B875" s="3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</row>
    <row r="876" ht="15.75" customHeight="1">
      <c r="A876" s="12"/>
      <c r="B876" s="3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</row>
    <row r="877" ht="15.75" customHeight="1">
      <c r="A877" s="12"/>
      <c r="B877" s="3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</row>
    <row r="878" ht="15.75" customHeight="1">
      <c r="A878" s="12"/>
      <c r="B878" s="3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</row>
    <row r="879" ht="15.75" customHeight="1">
      <c r="A879" s="12"/>
      <c r="B879" s="3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</row>
    <row r="880" ht="15.75" customHeight="1">
      <c r="A880" s="12"/>
      <c r="B880" s="3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</row>
    <row r="881" ht="15.75" customHeight="1">
      <c r="A881" s="12"/>
      <c r="B881" s="3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</row>
    <row r="882" ht="15.75" customHeight="1">
      <c r="A882" s="12"/>
      <c r="B882" s="3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</row>
    <row r="883" ht="15.75" customHeight="1">
      <c r="A883" s="12"/>
      <c r="B883" s="3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</row>
    <row r="884" ht="15.75" customHeight="1">
      <c r="A884" s="12"/>
      <c r="B884" s="3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</row>
    <row r="885" ht="15.75" customHeight="1">
      <c r="A885" s="12"/>
      <c r="B885" s="3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</row>
    <row r="886" ht="15.75" customHeight="1">
      <c r="A886" s="12"/>
      <c r="B886" s="3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</row>
    <row r="887" ht="15.75" customHeight="1">
      <c r="A887" s="12"/>
      <c r="B887" s="3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</row>
    <row r="888" ht="15.75" customHeight="1">
      <c r="A888" s="12"/>
      <c r="B888" s="3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</row>
    <row r="889" ht="15.75" customHeight="1">
      <c r="A889" s="12"/>
      <c r="B889" s="3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</row>
    <row r="890" ht="15.75" customHeight="1">
      <c r="A890" s="12"/>
      <c r="B890" s="3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</row>
    <row r="891" ht="15.75" customHeight="1">
      <c r="A891" s="12"/>
      <c r="B891" s="3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</row>
    <row r="892" ht="15.75" customHeight="1">
      <c r="A892" s="12"/>
      <c r="B892" s="3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</row>
    <row r="893" ht="15.75" customHeight="1">
      <c r="A893" s="12"/>
      <c r="B893" s="3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</row>
    <row r="894" ht="15.75" customHeight="1">
      <c r="A894" s="12"/>
      <c r="B894" s="3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</row>
    <row r="895" ht="15.75" customHeight="1">
      <c r="A895" s="12"/>
      <c r="B895" s="3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</row>
    <row r="896" ht="15.75" customHeight="1">
      <c r="A896" s="12"/>
      <c r="B896" s="3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</row>
    <row r="897" ht="15.75" customHeight="1">
      <c r="A897" s="12"/>
      <c r="B897" s="3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</row>
    <row r="898" ht="15.75" customHeight="1">
      <c r="A898" s="12"/>
      <c r="B898" s="3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</row>
    <row r="899" ht="15.75" customHeight="1">
      <c r="A899" s="12"/>
      <c r="B899" s="3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</row>
    <row r="900" ht="15.75" customHeight="1">
      <c r="A900" s="12"/>
      <c r="B900" s="3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</row>
    <row r="901" ht="15.75" customHeight="1">
      <c r="A901" s="12"/>
      <c r="B901" s="3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</row>
    <row r="902" ht="15.75" customHeight="1">
      <c r="A902" s="12"/>
      <c r="B902" s="3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</row>
    <row r="903" ht="15.75" customHeight="1">
      <c r="A903" s="12"/>
      <c r="B903" s="3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</row>
    <row r="904" ht="15.75" customHeight="1">
      <c r="A904" s="12"/>
      <c r="B904" s="3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</row>
    <row r="905" ht="15.75" customHeight="1">
      <c r="A905" s="12"/>
      <c r="B905" s="3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</row>
    <row r="906" ht="15.75" customHeight="1">
      <c r="A906" s="12"/>
      <c r="B906" s="3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</row>
    <row r="907" ht="15.75" customHeight="1">
      <c r="A907" s="12"/>
      <c r="B907" s="3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</row>
    <row r="908" ht="15.75" customHeight="1">
      <c r="A908" s="12"/>
      <c r="B908" s="3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</row>
    <row r="909" ht="15.75" customHeight="1">
      <c r="A909" s="12"/>
      <c r="B909" s="3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</row>
    <row r="910" ht="15.75" customHeight="1">
      <c r="A910" s="12"/>
      <c r="B910" s="3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</row>
    <row r="911" ht="15.75" customHeight="1">
      <c r="A911" s="12"/>
      <c r="B911" s="3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</row>
    <row r="912" ht="15.75" customHeight="1">
      <c r="A912" s="12"/>
      <c r="B912" s="3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</row>
    <row r="913" ht="15.75" customHeight="1">
      <c r="A913" s="12"/>
      <c r="B913" s="3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</row>
    <row r="914" ht="15.75" customHeight="1">
      <c r="A914" s="12"/>
      <c r="B914" s="3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</row>
    <row r="915" ht="15.75" customHeight="1">
      <c r="A915" s="12"/>
      <c r="B915" s="3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</row>
    <row r="916" ht="15.75" customHeight="1">
      <c r="A916" s="12"/>
      <c r="B916" s="3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</row>
    <row r="917" ht="15.75" customHeight="1">
      <c r="A917" s="12"/>
      <c r="B917" s="3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</row>
    <row r="918" ht="15.75" customHeight="1">
      <c r="A918" s="12"/>
      <c r="B918" s="3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</row>
    <row r="919" ht="15.75" customHeight="1">
      <c r="A919" s="12"/>
      <c r="B919" s="3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</row>
    <row r="920" ht="15.75" customHeight="1">
      <c r="A920" s="12"/>
      <c r="B920" s="3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</row>
    <row r="921" ht="15.75" customHeight="1">
      <c r="A921" s="12"/>
      <c r="B921" s="3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</row>
    <row r="922" ht="15.75" customHeight="1">
      <c r="A922" s="12"/>
      <c r="B922" s="3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</row>
    <row r="923" ht="15.75" customHeight="1">
      <c r="A923" s="12"/>
      <c r="B923" s="3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</row>
    <row r="924" ht="15.75" customHeight="1">
      <c r="A924" s="12"/>
      <c r="B924" s="3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</row>
    <row r="925" ht="15.75" customHeight="1">
      <c r="A925" s="12"/>
      <c r="B925" s="3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</row>
    <row r="926" ht="15.75" customHeight="1">
      <c r="A926" s="12"/>
      <c r="B926" s="3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</row>
    <row r="927" ht="15.75" customHeight="1">
      <c r="A927" s="12"/>
      <c r="B927" s="3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</row>
    <row r="928" ht="15.75" customHeight="1">
      <c r="A928" s="12"/>
      <c r="B928" s="3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</row>
    <row r="929" ht="15.75" customHeight="1">
      <c r="A929" s="12"/>
      <c r="B929" s="3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</row>
    <row r="930" ht="15.75" customHeight="1">
      <c r="A930" s="12"/>
      <c r="B930" s="3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</row>
    <row r="931" ht="15.75" customHeight="1">
      <c r="A931" s="12"/>
      <c r="B931" s="3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</row>
    <row r="932" ht="15.75" customHeight="1">
      <c r="A932" s="12"/>
      <c r="B932" s="3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</row>
    <row r="933" ht="15.75" customHeight="1">
      <c r="A933" s="12"/>
      <c r="B933" s="3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</row>
    <row r="934" ht="15.75" customHeight="1">
      <c r="A934" s="12"/>
      <c r="B934" s="3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</row>
    <row r="935" ht="15.75" customHeight="1">
      <c r="A935" s="12"/>
      <c r="B935" s="3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</row>
    <row r="936" ht="15.75" customHeight="1">
      <c r="A936" s="12"/>
      <c r="B936" s="3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</row>
    <row r="937" ht="15.75" customHeight="1">
      <c r="A937" s="12"/>
      <c r="B937" s="3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</row>
    <row r="938" ht="15.75" customHeight="1">
      <c r="A938" s="12"/>
      <c r="B938" s="3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</row>
    <row r="939" ht="15.75" customHeight="1">
      <c r="A939" s="12"/>
      <c r="B939" s="3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</row>
    <row r="940" ht="15.75" customHeight="1">
      <c r="A940" s="12"/>
      <c r="B940" s="3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</row>
    <row r="941" ht="15.75" customHeight="1">
      <c r="A941" s="12"/>
      <c r="B941" s="3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</row>
    <row r="942" ht="15.75" customHeight="1">
      <c r="A942" s="12"/>
      <c r="B942" s="3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</row>
    <row r="943" ht="15.75" customHeight="1">
      <c r="A943" s="12"/>
      <c r="B943" s="3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</row>
    <row r="944" ht="15.75" customHeight="1">
      <c r="A944" s="12"/>
      <c r="B944" s="3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</row>
    <row r="945" ht="15.75" customHeight="1">
      <c r="A945" s="12"/>
      <c r="B945" s="3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</row>
    <row r="946" ht="15.75" customHeight="1">
      <c r="A946" s="12"/>
      <c r="B946" s="3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</row>
    <row r="947" ht="15.75" customHeight="1">
      <c r="A947" s="12"/>
      <c r="B947" s="3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</row>
    <row r="948" ht="15.75" customHeight="1">
      <c r="A948" s="12"/>
      <c r="B948" s="3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</row>
    <row r="949" ht="15.75" customHeight="1">
      <c r="A949" s="12"/>
      <c r="B949" s="3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</row>
    <row r="950" ht="15.75" customHeight="1">
      <c r="A950" s="12"/>
      <c r="B950" s="3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</row>
    <row r="951" ht="15.75" customHeight="1">
      <c r="A951" s="12"/>
      <c r="B951" s="3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</row>
    <row r="952" ht="15.75" customHeight="1">
      <c r="A952" s="12"/>
      <c r="B952" s="3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</row>
    <row r="953" ht="15.75" customHeight="1">
      <c r="A953" s="12"/>
      <c r="B953" s="3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</row>
    <row r="954" ht="15.75" customHeight="1">
      <c r="A954" s="12"/>
      <c r="B954" s="3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</row>
    <row r="955" ht="15.75" customHeight="1">
      <c r="A955" s="12"/>
      <c r="B955" s="3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</row>
    <row r="956" ht="15.75" customHeight="1">
      <c r="A956" s="12"/>
      <c r="B956" s="3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</row>
    <row r="957" ht="15.75" customHeight="1">
      <c r="A957" s="12"/>
      <c r="B957" s="3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</row>
    <row r="958" ht="15.75" customHeight="1">
      <c r="A958" s="12"/>
      <c r="B958" s="3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</row>
    <row r="959" ht="15.75" customHeight="1">
      <c r="A959" s="12"/>
      <c r="B959" s="3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</row>
    <row r="960" ht="15.75" customHeight="1">
      <c r="A960" s="12"/>
      <c r="B960" s="3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</row>
    <row r="961" ht="15.75" customHeight="1">
      <c r="A961" s="12"/>
      <c r="B961" s="3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</row>
    <row r="962" ht="15.75" customHeight="1">
      <c r="A962" s="12"/>
      <c r="B962" s="3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</row>
    <row r="963" ht="15.75" customHeight="1">
      <c r="A963" s="12"/>
      <c r="B963" s="3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</row>
    <row r="964" ht="15.75" customHeight="1">
      <c r="A964" s="12"/>
      <c r="B964" s="3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</row>
    <row r="965" ht="15.75" customHeight="1">
      <c r="A965" s="12"/>
      <c r="B965" s="3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</row>
    <row r="966" ht="15.75" customHeight="1">
      <c r="A966" s="12"/>
      <c r="B966" s="3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</row>
    <row r="967" ht="15.75" customHeight="1">
      <c r="A967" s="12"/>
      <c r="B967" s="3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</row>
    <row r="968" ht="15.75" customHeight="1">
      <c r="A968" s="12"/>
      <c r="B968" s="3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</row>
    <row r="969" ht="15.75" customHeight="1">
      <c r="A969" s="12"/>
      <c r="B969" s="3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</row>
    <row r="970" ht="15.75" customHeight="1">
      <c r="A970" s="12"/>
      <c r="B970" s="3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</row>
    <row r="971" ht="15.75" customHeight="1">
      <c r="A971" s="12"/>
      <c r="B971" s="3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</row>
    <row r="972" ht="15.75" customHeight="1">
      <c r="A972" s="12"/>
      <c r="B972" s="3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</row>
    <row r="973" ht="15.75" customHeight="1">
      <c r="A973" s="12"/>
      <c r="B973" s="3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</row>
    <row r="974" ht="15.75" customHeight="1">
      <c r="A974" s="12"/>
      <c r="B974" s="3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</row>
    <row r="975" ht="15.75" customHeight="1">
      <c r="A975" s="12"/>
      <c r="B975" s="3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</row>
    <row r="976" ht="15.75" customHeight="1">
      <c r="A976" s="12"/>
      <c r="B976" s="3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</row>
    <row r="977" ht="15.75" customHeight="1">
      <c r="A977" s="12"/>
      <c r="B977" s="3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</row>
    <row r="978" ht="15.75" customHeight="1">
      <c r="A978" s="12"/>
      <c r="B978" s="3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</row>
    <row r="979" ht="15.75" customHeight="1">
      <c r="A979" s="12"/>
      <c r="B979" s="3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</row>
    <row r="980" ht="15.75" customHeight="1">
      <c r="A980" s="12"/>
      <c r="B980" s="3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</row>
    <row r="981" ht="15.75" customHeight="1">
      <c r="A981" s="12"/>
      <c r="B981" s="3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</row>
    <row r="982" ht="15.75" customHeight="1">
      <c r="A982" s="12"/>
      <c r="B982" s="3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</row>
    <row r="983" ht="15.75" customHeight="1">
      <c r="A983" s="12"/>
      <c r="B983" s="3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</row>
    <row r="984" ht="15.75" customHeight="1">
      <c r="A984" s="12"/>
      <c r="B984" s="3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</row>
    <row r="985" ht="15.75" customHeight="1">
      <c r="A985" s="12"/>
      <c r="B985" s="3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</row>
    <row r="986" ht="15.75" customHeight="1">
      <c r="A986" s="12"/>
      <c r="B986" s="3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</row>
    <row r="987" ht="15.75" customHeight="1">
      <c r="A987" s="12"/>
      <c r="B987" s="3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</row>
    <row r="988" ht="15.75" customHeight="1">
      <c r="A988" s="12"/>
      <c r="B988" s="3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</row>
    <row r="989" ht="15.75" customHeight="1">
      <c r="A989" s="12"/>
      <c r="B989" s="3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</row>
    <row r="990" ht="15.75" customHeight="1">
      <c r="A990" s="12"/>
      <c r="B990" s="3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</row>
    <row r="991" ht="15.75" customHeight="1">
      <c r="A991" s="12"/>
      <c r="B991" s="3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</row>
    <row r="992" ht="15.75" customHeight="1">
      <c r="A992" s="12"/>
      <c r="B992" s="3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</row>
    <row r="993" ht="15.75" customHeight="1">
      <c r="A993" s="12"/>
      <c r="B993" s="3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</row>
    <row r="994" ht="15.75" customHeight="1">
      <c r="A994" s="12"/>
      <c r="B994" s="3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</row>
    <row r="995" ht="15.75" customHeight="1">
      <c r="A995" s="12"/>
      <c r="B995" s="3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</row>
    <row r="996" ht="15.75" customHeight="1">
      <c r="A996" s="12"/>
      <c r="B996" s="3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</row>
    <row r="997" ht="15.75" customHeight="1">
      <c r="A997" s="12"/>
      <c r="B997" s="3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</row>
    <row r="998" ht="15.75" customHeight="1">
      <c r="A998" s="12"/>
      <c r="B998" s="3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</row>
    <row r="999" ht="15.75" customHeight="1">
      <c r="A999" s="12"/>
      <c r="B999" s="3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</row>
    <row r="1000" ht="15.75" customHeight="1">
      <c r="A1000" s="12"/>
      <c r="B1000" s="3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R1000" s="12"/>
      <c r="S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</row>
  </sheetData>
  <mergeCells count="87">
    <mergeCell ref="T12:AA12"/>
    <mergeCell ref="T13:W13"/>
    <mergeCell ref="X13:AA13"/>
    <mergeCell ref="AC13:AF13"/>
    <mergeCell ref="AG13:AJ13"/>
    <mergeCell ref="AL13:AN13"/>
    <mergeCell ref="AO13:AQ13"/>
    <mergeCell ref="T6:W6"/>
    <mergeCell ref="T7:W7"/>
    <mergeCell ref="T8:W8"/>
    <mergeCell ref="X8:AA8"/>
    <mergeCell ref="T9:W9"/>
    <mergeCell ref="X9:AA9"/>
    <mergeCell ref="T11:AA11"/>
    <mergeCell ref="AC15:AF15"/>
    <mergeCell ref="AG15:AJ15"/>
    <mergeCell ref="AL15:AN15"/>
    <mergeCell ref="AO15:AQ15"/>
    <mergeCell ref="AL16:AQ16"/>
    <mergeCell ref="AL17:AN17"/>
    <mergeCell ref="AO17:AQ17"/>
    <mergeCell ref="AL18:AN18"/>
    <mergeCell ref="AO18:AQ18"/>
    <mergeCell ref="T14:W14"/>
    <mergeCell ref="X14:AA14"/>
    <mergeCell ref="AC14:AF14"/>
    <mergeCell ref="AG14:AJ14"/>
    <mergeCell ref="AL14:AN14"/>
    <mergeCell ref="P15:Q15"/>
    <mergeCell ref="T15:AA15"/>
    <mergeCell ref="T17:W17"/>
    <mergeCell ref="T18:W18"/>
    <mergeCell ref="X18:AA18"/>
    <mergeCell ref="AC18:AF18"/>
    <mergeCell ref="AG18:AJ18"/>
    <mergeCell ref="A35:B35"/>
    <mergeCell ref="D35:E35"/>
    <mergeCell ref="T16:W16"/>
    <mergeCell ref="X16:AA16"/>
    <mergeCell ref="AC16:AF16"/>
    <mergeCell ref="AG16:AJ16"/>
    <mergeCell ref="X17:AA17"/>
    <mergeCell ref="AC17:AF17"/>
    <mergeCell ref="AG17:AJ17"/>
    <mergeCell ref="A1:AR1"/>
    <mergeCell ref="H2:M2"/>
    <mergeCell ref="N2:S2"/>
    <mergeCell ref="T2:Y2"/>
    <mergeCell ref="Z2:AE2"/>
    <mergeCell ref="AF2:AK2"/>
    <mergeCell ref="AL2:AR2"/>
    <mergeCell ref="A2:G2"/>
    <mergeCell ref="H3:M4"/>
    <mergeCell ref="N3:S4"/>
    <mergeCell ref="T3:Y4"/>
    <mergeCell ref="Z3:AE4"/>
    <mergeCell ref="AF3:AK4"/>
    <mergeCell ref="AL3:AR4"/>
    <mergeCell ref="AL5:AQ5"/>
    <mergeCell ref="A3:G4"/>
    <mergeCell ref="B5:C5"/>
    <mergeCell ref="B6:R7"/>
    <mergeCell ref="X6:AA6"/>
    <mergeCell ref="AL6:AN6"/>
    <mergeCell ref="AO6:AQ6"/>
    <mergeCell ref="X7:AA7"/>
    <mergeCell ref="AL7:AQ7"/>
    <mergeCell ref="AC6:AH6"/>
    <mergeCell ref="AC7:AH7"/>
    <mergeCell ref="AL8:AN8"/>
    <mergeCell ref="AO8:AQ8"/>
    <mergeCell ref="AG9:AJ9"/>
    <mergeCell ref="AL9:AN9"/>
    <mergeCell ref="AO9:AQ9"/>
    <mergeCell ref="AL11:AN11"/>
    <mergeCell ref="AO11:AQ11"/>
    <mergeCell ref="AC12:AF12"/>
    <mergeCell ref="AG12:AJ12"/>
    <mergeCell ref="AL12:AN12"/>
    <mergeCell ref="AO12:AQ12"/>
    <mergeCell ref="AC9:AF9"/>
    <mergeCell ref="AC10:AF10"/>
    <mergeCell ref="AG10:AJ10"/>
    <mergeCell ref="AL10:AN10"/>
    <mergeCell ref="AO10:AQ10"/>
    <mergeCell ref="AC11:AF11"/>
    <mergeCell ref="AG11:AJ11"/>
  </mergeCells>
  <conditionalFormatting sqref="AO17:AQ18">
    <cfRule type="containsText" dxfId="0" priority="1" operator="containsText" text="Invalid">
      <formula>NOT(ISERROR(SEARCH(("Invalid"),(AO17))))</formula>
    </cfRule>
  </conditionalFormatting>
  <conditionalFormatting sqref="AO17:AQ18">
    <cfRule type="containsText" dxfId="1" priority="2" operator="containsText" text="Valid">
      <formula>NOT(ISERROR(SEARCH(("Valid"),(AO17))))</formula>
    </cfRule>
  </conditionalFormatting>
  <conditionalFormatting sqref="H3:M4">
    <cfRule type="cellIs" dxfId="2" priority="3" operator="lessThan">
      <formula>0</formula>
    </cfRule>
  </conditionalFormatting>
  <dataValidations>
    <dataValidation type="list" allowBlank="1" showErrorMessage="1" sqref="AR14">
      <formula1>"JANUARY,FEBRUARY,MARCH,APRIL,MAY,JUNE,JULY,AUGUST,SEPTEMBER,OCTOBER,NOVEMBER,DECEMBER"</formula1>
    </dataValidation>
    <dataValidation type="list" allowBlank="1" showErrorMessage="1" sqref="AL13 AO13">
      <formula1>"2020,2021,2022,2023,2024,2025"</formula1>
    </dataValidation>
    <dataValidation type="list" allowBlank="1" showErrorMessage="1" sqref="AC7 AR11">
      <formula1>"ASKY,QATAR,ETHIOPIAN,LUFTHANSA,VIRGIN ATLANTIC,DELTA,SOUTH AFRICAN,BRITISH,DHL"</formula1>
    </dataValidation>
    <dataValidation type="list" allowBlank="1" showErrorMessage="1" sqref="AL11 AO11">
      <formula1>"JAN,FEB,MAR,APR,MAY,JUN,JUL,AUG,SEP,OCT,NOV,DEC"</formula1>
    </dataValidation>
    <dataValidation type="list" allowBlank="1" showInputMessage="1" showErrorMessage="1" prompt="Select" sqref="AL9 AO9">
      <formula1>"1,2,3,4,5,6,7,8,9,10,11,12,13,14,15,16,17,18,19,20,21,22,23,24,25,26,27,28,29,30,31"</formula1>
    </dataValidation>
    <dataValidation type="list" allowBlank="1" showErrorMessage="1" sqref="H2">
      <formula1>"TANK 1 VARIANCE,TANK 2 VARIANCE,TANK 3 VARIANCE,TOTAL TANK VARIANCE"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71"/>
    <col customWidth="1" min="2" max="43" width="3.71"/>
    <col customWidth="1" min="44" max="44" width="0.71"/>
  </cols>
  <sheetData>
    <row r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</row>
    <row r="2">
      <c r="A2" s="4" t="s">
        <v>1</v>
      </c>
      <c r="B2" s="5"/>
      <c r="C2" s="5"/>
      <c r="D2" s="5"/>
      <c r="E2" s="5"/>
      <c r="F2" s="5"/>
      <c r="G2" s="6"/>
      <c r="H2" s="4" t="s">
        <v>2</v>
      </c>
      <c r="I2" s="5"/>
      <c r="J2" s="5"/>
      <c r="K2" s="5"/>
      <c r="L2" s="5"/>
      <c r="M2" s="6"/>
      <c r="N2" s="4" t="s">
        <v>3</v>
      </c>
      <c r="O2" s="5"/>
      <c r="P2" s="5"/>
      <c r="Q2" s="5"/>
      <c r="R2" s="5"/>
      <c r="S2" s="6"/>
      <c r="T2" s="4"/>
      <c r="U2" s="5"/>
      <c r="V2" s="5"/>
      <c r="W2" s="5"/>
      <c r="X2" s="5"/>
      <c r="Y2" s="6"/>
      <c r="Z2" s="4" t="s">
        <v>4</v>
      </c>
      <c r="AA2" s="5"/>
      <c r="AB2" s="5"/>
      <c r="AC2" s="5"/>
      <c r="AD2" s="5"/>
      <c r="AE2" s="6"/>
      <c r="AF2" s="4" t="str">
        <f>CONCATENATE("VOLUME SOLD:"," ",AL11,","," ",AL9," ","TO"," ",AO11,","," ",AO9)</f>
        <v>VOLUME SOLD: SEP, 20 TO SEP, 20</v>
      </c>
      <c r="AG2" s="5"/>
      <c r="AH2" s="5"/>
      <c r="AI2" s="5"/>
      <c r="AJ2" s="5"/>
      <c r="AK2" s="6"/>
      <c r="AL2" s="4" t="str">
        <f>CONCATENATE(AC7,":"," ",AL11,","," ",AL9," ","TO"," ",AO11,","," ",AO9)</f>
        <v>ETHIOPIAN: SEP, 20 TO SEP, 20</v>
      </c>
      <c r="AM2" s="5"/>
      <c r="AN2" s="5"/>
      <c r="AO2" s="5"/>
      <c r="AP2" s="5"/>
      <c r="AQ2" s="5"/>
      <c r="AR2" s="6"/>
    </row>
    <row r="3">
      <c r="A3" s="7">
        <f>IFERROR(sum(StockOverview!B5:B7),"Check Data")</f>
        <v>268642</v>
      </c>
      <c r="G3" s="8"/>
      <c r="H3" s="7">
        <f>IF(OR(AO17="❌ Invalid",AO18="❌Invalid"),"⚠️ Please select valid dates",IFS(H2:M2="TANK 1 VARIANCE",SUMIFS(TSM!L:L,TSM!D:D,"Tank 1",TSM!A:A,"&gt;=" &amp; AL15,TSM!A:A, "&lt;" &amp; AO15 + 1),H2:M2="TANK 2 VARIANCE",SUMIFS(TSM!L:L,TSM!D:D,"Tank 2",TSM!A:A,"&gt;=" &amp; AL15,TSM!A:A, "&lt;" &amp; AO15 + 1),H2:M2="TANK 3 VARIANCE",SUMIFS(TSM!L:L,TSM!D:D,"Tank 3",TSM!A:A,"&gt;=" &amp; AL15,TSM!A:A, "&lt;" &amp; AO15 + 1),H2:M2="TOTAL TANK VARIANCE",SUMIFS(TSM!L:L,TSM!A:A,"&gt;=" &amp; AL15,TSM!A:A, "&lt;" &amp; AO15 + 1)))</f>
        <v>0</v>
      </c>
      <c r="M3" s="8"/>
      <c r="N3" s="7">
        <f>IFERROR(SUM(StockOverview!B12:B19),"")</f>
        <v>277335</v>
      </c>
      <c r="S3" s="8"/>
      <c r="T3" s="7"/>
      <c r="Y3" s="8"/>
      <c r="Z3" s="7">
        <f>SUMIFS(Sales!I:I,Sales!A:A,"&gt;="&amp; AL6, Sales!A:A, "&lt;"&amp; AO6)</f>
        <v>0</v>
      </c>
      <c r="AE3" s="8"/>
      <c r="AF3" s="7">
        <f>IF(OR(AO17="❌ Invalid",AO18="❌Invalid"),"⚠️ Please select valid dates",SUMIFS(Sales!I:I,Sales!A:A,"&gt;=" &amp; AL15,Sales!A:A, "&lt;" &amp; AO15 + 1))</f>
        <v>0</v>
      </c>
      <c r="AK3" s="8"/>
      <c r="AL3" s="7">
        <f>IF(OR(AO17="❌ Invalid",AO18="❌Invalid"),"⚠️ Please select valid dates",SUMIFS(Sales!I:I,Sales!A:A, "&gt;=" &amp; AL15,Sales!A:A, "&lt;" &amp; AO15+1,Sales!F:F,AC7))</f>
        <v>0</v>
      </c>
      <c r="AR3" s="8"/>
    </row>
    <row r="4">
      <c r="A4" s="9"/>
      <c r="B4" s="10"/>
      <c r="C4" s="10"/>
      <c r="D4" s="10"/>
      <c r="E4" s="10"/>
      <c r="F4" s="10"/>
      <c r="G4" s="11"/>
      <c r="H4" s="9"/>
      <c r="I4" s="10"/>
      <c r="J4" s="10"/>
      <c r="K4" s="10"/>
      <c r="L4" s="10"/>
      <c r="M4" s="11"/>
      <c r="N4" s="9"/>
      <c r="O4" s="10"/>
      <c r="P4" s="10"/>
      <c r="Q4" s="10"/>
      <c r="R4" s="10"/>
      <c r="S4" s="11"/>
      <c r="T4" s="9"/>
      <c r="U4" s="10"/>
      <c r="V4" s="10"/>
      <c r="W4" s="10"/>
      <c r="X4" s="10"/>
      <c r="Y4" s="11"/>
      <c r="Z4" s="9"/>
      <c r="AA4" s="10"/>
      <c r="AB4" s="10"/>
      <c r="AC4" s="10"/>
      <c r="AD4" s="10"/>
      <c r="AE4" s="11"/>
      <c r="AF4" s="9"/>
      <c r="AG4" s="10"/>
      <c r="AH4" s="10"/>
      <c r="AI4" s="10"/>
      <c r="AJ4" s="10"/>
      <c r="AK4" s="11"/>
      <c r="AL4" s="9"/>
      <c r="AM4" s="10"/>
      <c r="AN4" s="10"/>
      <c r="AO4" s="10"/>
      <c r="AP4" s="10"/>
      <c r="AQ4" s="10"/>
      <c r="AR4" s="11"/>
    </row>
    <row r="5">
      <c r="A5" s="12"/>
      <c r="B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R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3" t="s">
        <v>5</v>
      </c>
      <c r="AR5" s="12"/>
    </row>
    <row r="6" ht="15.75" customHeight="1">
      <c r="A6" s="12"/>
      <c r="B6" s="14" t="s">
        <v>6</v>
      </c>
      <c r="T6" s="15" t="s">
        <v>7</v>
      </c>
      <c r="U6" s="16"/>
      <c r="V6" s="16"/>
      <c r="W6" s="16"/>
      <c r="X6" s="17" t="s">
        <v>8</v>
      </c>
      <c r="Y6" s="16"/>
      <c r="Z6" s="16"/>
      <c r="AA6" s="18"/>
      <c r="AC6" s="19" t="s">
        <v>9</v>
      </c>
      <c r="AD6" s="5"/>
      <c r="AE6" s="5"/>
      <c r="AF6" s="5"/>
      <c r="AG6" s="5"/>
      <c r="AH6" s="6"/>
      <c r="AK6" s="12"/>
      <c r="AL6" s="92">
        <f>IF(TIMEVALUE(NOW()) &lt; TIME(8,0,0), TODAY()-1+TIME(8,0,0), TODAY()+TIME(8,0,0))</f>
        <v>45921.33333</v>
      </c>
      <c r="AM6" s="16"/>
      <c r="AN6" s="18"/>
      <c r="AO6" s="92">
        <f>AL6+1</f>
        <v>45922.33333</v>
      </c>
      <c r="AP6" s="16"/>
      <c r="AQ6" s="18"/>
      <c r="AR6" s="21"/>
    </row>
    <row r="7" ht="15.75" customHeight="1">
      <c r="A7" s="12"/>
      <c r="T7" s="22" t="s">
        <v>10</v>
      </c>
      <c r="U7" s="10"/>
      <c r="V7" s="23"/>
      <c r="W7" s="24"/>
      <c r="X7" s="25">
        <f>StockOverview!B5</f>
        <v>0</v>
      </c>
      <c r="Y7" s="23"/>
      <c r="Z7" s="10"/>
      <c r="AA7" s="11"/>
      <c r="AC7" s="26" t="s">
        <v>11</v>
      </c>
      <c r="AD7" s="27"/>
      <c r="AE7" s="27"/>
      <c r="AF7" s="27"/>
      <c r="AG7" s="27"/>
      <c r="AH7" s="28"/>
      <c r="AK7" s="12"/>
      <c r="AL7" s="29" t="s">
        <v>12</v>
      </c>
      <c r="AR7" s="30"/>
    </row>
    <row r="8">
      <c r="A8" s="12"/>
      <c r="B8" s="31"/>
      <c r="C8" s="12"/>
      <c r="D8" s="12"/>
      <c r="E8" s="12"/>
      <c r="F8" s="12"/>
      <c r="G8" s="12"/>
      <c r="H8" s="12"/>
      <c r="I8" s="12"/>
      <c r="J8" s="12"/>
      <c r="O8" s="32"/>
      <c r="R8" s="12"/>
      <c r="T8" s="33" t="s">
        <v>13</v>
      </c>
      <c r="U8" s="16"/>
      <c r="V8" s="34"/>
      <c r="W8" s="35"/>
      <c r="X8" s="36">
        <f>StockOverview!B6</f>
        <v>0</v>
      </c>
      <c r="Y8" s="34"/>
      <c r="Z8" s="16"/>
      <c r="AA8" s="18"/>
      <c r="AC8" s="93" t="str">
        <f>IFERROR(__xludf.DUMMYFUNCTION("IF(OR(AO17=""❌ Invalid"",AO18=""❌Invalid""),""⚠️ Please select valid dates"",vlookup(min(filter(TSM!A:A,TSM!A:A&gt;=AL15,TSM!A:A&lt;AO15 + 1)),TSM!A:Q,8,FALSE)+SUMIFS(TSM!G:G,TSM!A:A,""&gt;="" &amp; AL15,TSM!A:A, ""&lt;"" &amp; AO15 + 1,TSM!Q:Q,""Inflow""))-SUMIFS(TSM!G:G,TS"&amp;"M!A:A,""&gt;="" &amp; AL15,TSM!A:A, ""&lt;"" &amp; AO15 + 1,TSM!Q:Q,""Outflow"")"),"#N/A")</f>
        <v>#N/A</v>
      </c>
      <c r="AK8" s="12"/>
      <c r="AL8" s="37" t="s">
        <v>14</v>
      </c>
      <c r="AO8" s="37" t="s">
        <v>15</v>
      </c>
      <c r="AR8" s="38"/>
    </row>
    <row r="9">
      <c r="A9" s="12"/>
      <c r="B9" s="31"/>
      <c r="C9" s="12"/>
      <c r="D9" s="12"/>
      <c r="E9" s="12"/>
      <c r="F9" s="12"/>
      <c r="G9" s="12"/>
      <c r="H9" s="12"/>
      <c r="I9" s="12"/>
      <c r="J9" s="12"/>
      <c r="O9" s="32"/>
      <c r="R9" s="12"/>
      <c r="T9" s="33" t="s">
        <v>16</v>
      </c>
      <c r="U9" s="16"/>
      <c r="V9" s="39"/>
      <c r="W9" s="40"/>
      <c r="X9" s="36">
        <f>StockOverview!B7</f>
        <v>268642</v>
      </c>
      <c r="Y9" s="39"/>
      <c r="Z9" s="16"/>
      <c r="AA9" s="18"/>
      <c r="AC9" s="94" t="s">
        <v>17</v>
      </c>
      <c r="AD9" s="16"/>
      <c r="AE9" s="16"/>
      <c r="AF9" s="16"/>
      <c r="AG9" s="42" t="s">
        <v>8</v>
      </c>
      <c r="AH9" s="16"/>
      <c r="AI9" s="16"/>
      <c r="AJ9" s="18"/>
      <c r="AL9" s="95">
        <v>20.0</v>
      </c>
      <c r="AM9" s="16"/>
      <c r="AN9" s="18"/>
      <c r="AO9" s="95">
        <v>20.0</v>
      </c>
      <c r="AP9" s="16"/>
      <c r="AQ9" s="18"/>
    </row>
    <row r="10">
      <c r="A10" s="12"/>
      <c r="B10" s="31"/>
      <c r="C10" s="12"/>
      <c r="E10" s="12"/>
      <c r="F10" s="12"/>
      <c r="G10" s="12"/>
      <c r="H10" s="12"/>
      <c r="I10" s="12"/>
      <c r="J10" s="12"/>
      <c r="O10" s="44"/>
      <c r="R10" s="12"/>
      <c r="U10" s="12"/>
      <c r="V10" s="12"/>
      <c r="W10" s="12"/>
      <c r="X10" s="12"/>
      <c r="Y10" s="12"/>
      <c r="Z10" s="12"/>
      <c r="AC10" s="45" t="s">
        <v>18</v>
      </c>
      <c r="AD10" s="16"/>
      <c r="AE10" s="16"/>
      <c r="AF10" s="18"/>
      <c r="AG10" s="96">
        <f>IFERROR(VLOOKUP(MAXIFS(TSM!A:A,TSM!F:F,AC10),TSM!A:Q,14,FALSE),"")</f>
        <v>54596</v>
      </c>
      <c r="AH10" s="16"/>
      <c r="AI10" s="16"/>
      <c r="AJ10" s="18"/>
      <c r="AK10" s="12"/>
      <c r="AL10" s="47" t="s">
        <v>19</v>
      </c>
      <c r="AO10" s="47" t="s">
        <v>20</v>
      </c>
      <c r="AR10" s="48"/>
    </row>
    <row r="11">
      <c r="A11" s="12"/>
      <c r="B11" s="3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R11" s="12"/>
      <c r="T11" s="49" t="s">
        <v>21</v>
      </c>
      <c r="U11" s="16"/>
      <c r="V11" s="16"/>
      <c r="W11" s="16"/>
      <c r="X11" s="16"/>
      <c r="Y11" s="16"/>
      <c r="Z11" s="16"/>
      <c r="AA11" s="18"/>
      <c r="AC11" s="45" t="s">
        <v>22</v>
      </c>
      <c r="AD11" s="16"/>
      <c r="AE11" s="16"/>
      <c r="AF11" s="18"/>
      <c r="AG11" s="96">
        <f>IFERROR(VLOOKUP(MAXIFS(TSM!A:A,TSM!F:F,AC11),TSM!A:Q,14,FALSE),"")</f>
        <v>35161</v>
      </c>
      <c r="AH11" s="16"/>
      <c r="AI11" s="16"/>
      <c r="AJ11" s="18"/>
      <c r="AK11" s="12"/>
      <c r="AL11" s="97" t="s">
        <v>23</v>
      </c>
      <c r="AM11" s="16"/>
      <c r="AN11" s="18"/>
      <c r="AO11" s="97" t="s">
        <v>23</v>
      </c>
      <c r="AP11" s="16"/>
      <c r="AQ11" s="18"/>
      <c r="AR11" s="52"/>
    </row>
    <row r="12">
      <c r="A12" s="12"/>
      <c r="B12" s="31"/>
      <c r="C12" s="12"/>
      <c r="D12" s="12"/>
      <c r="E12" s="12"/>
      <c r="F12" s="12"/>
      <c r="G12" s="12"/>
      <c r="H12" s="12"/>
      <c r="I12" s="12"/>
      <c r="J12" s="12"/>
      <c r="K12" s="12"/>
      <c r="L12" s="12"/>
      <c r="O12" s="12"/>
      <c r="R12" s="12"/>
      <c r="S12" s="12"/>
      <c r="T12" s="53" t="s">
        <v>41</v>
      </c>
      <c r="U12" s="16"/>
      <c r="V12" s="16"/>
      <c r="W12" s="16"/>
      <c r="X12" s="16"/>
      <c r="Y12" s="16"/>
      <c r="Z12" s="16"/>
      <c r="AA12" s="18"/>
      <c r="AC12" s="45" t="s">
        <v>25</v>
      </c>
      <c r="AD12" s="16"/>
      <c r="AE12" s="16"/>
      <c r="AF12" s="18"/>
      <c r="AG12" s="96">
        <f>IFERROR(VLOOKUP(MAXIFS(TSM!A:A,TSM!F:F,AC12),TSM!A:Q,14,FALSE),"")</f>
        <v>5493</v>
      </c>
      <c r="AH12" s="16"/>
      <c r="AI12" s="16"/>
      <c r="AJ12" s="18"/>
      <c r="AK12" s="12"/>
      <c r="AL12" s="54" t="s">
        <v>26</v>
      </c>
      <c r="AO12" s="54" t="s">
        <v>27</v>
      </c>
    </row>
    <row r="13">
      <c r="A13" s="12"/>
      <c r="B13" s="31"/>
      <c r="C13" s="12"/>
      <c r="D13" s="12"/>
      <c r="E13" s="12"/>
      <c r="F13" s="12"/>
      <c r="G13" s="12"/>
      <c r="H13" s="12"/>
      <c r="I13" s="12"/>
      <c r="J13" s="12"/>
      <c r="K13" s="12"/>
      <c r="O13" s="12"/>
      <c r="R13" s="12"/>
      <c r="T13" s="55" t="s">
        <v>28</v>
      </c>
      <c r="U13" s="16"/>
      <c r="V13" s="16"/>
      <c r="W13" s="18"/>
      <c r="X13" s="56">
        <f>SUMIFS(TSM!G:G,TSM!A:A,"&gt;="&amp;AL6,TSM!Q:Q,"Inflow")</f>
        <v>0</v>
      </c>
      <c r="Y13" s="16"/>
      <c r="Z13" s="16"/>
      <c r="AA13" s="18"/>
      <c r="AB13" s="12"/>
      <c r="AC13" s="45" t="s">
        <v>29</v>
      </c>
      <c r="AD13" s="16"/>
      <c r="AE13" s="16"/>
      <c r="AF13" s="18"/>
      <c r="AG13" s="96">
        <f>IFERROR(VLOOKUP(MAXIFS(TSM!A:A,TSM!F:F,AC13),TSM!A:Q,14,FALSE),"")</f>
        <v>54990</v>
      </c>
      <c r="AH13" s="16"/>
      <c r="AI13" s="16"/>
      <c r="AJ13" s="18"/>
      <c r="AK13" s="57"/>
      <c r="AL13" s="98">
        <v>2025.0</v>
      </c>
      <c r="AM13" s="16"/>
      <c r="AN13" s="18"/>
      <c r="AO13" s="98">
        <v>2025.0</v>
      </c>
      <c r="AP13" s="16"/>
      <c r="AQ13" s="18"/>
      <c r="AR13" s="48"/>
    </row>
    <row r="14">
      <c r="A14" s="12"/>
      <c r="B14" s="3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R14" s="12"/>
      <c r="S14" s="12"/>
      <c r="T14" s="55" t="s">
        <v>30</v>
      </c>
      <c r="U14" s="16"/>
      <c r="V14" s="16"/>
      <c r="W14" s="18"/>
      <c r="X14" s="59">
        <f>SUMIFS(TSM!K:K,TSM!A:A,"&gt;="&amp;AL6,TSM!Q:Q,"Inflow")</f>
        <v>0</v>
      </c>
      <c r="Y14" s="16"/>
      <c r="Z14" s="16"/>
      <c r="AA14" s="18"/>
      <c r="AB14" s="12"/>
      <c r="AC14" s="45" t="s">
        <v>31</v>
      </c>
      <c r="AD14" s="16"/>
      <c r="AE14" s="16"/>
      <c r="AF14" s="18"/>
      <c r="AG14" s="96">
        <f>IFERROR(VLOOKUP(MAXIFS(TSM!A:A,TSM!F:F,AC14),TSM!A:Q,14,FALSE),"")</f>
        <v>41009</v>
      </c>
      <c r="AH14" s="16"/>
      <c r="AI14" s="16"/>
      <c r="AJ14" s="18"/>
      <c r="AK14" s="12"/>
      <c r="AL14" s="60" t="s">
        <v>32</v>
      </c>
      <c r="AO14" s="60" t="s">
        <v>33</v>
      </c>
      <c r="AR14" s="61"/>
    </row>
    <row r="15">
      <c r="A15" s="12"/>
      <c r="B15" s="3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R15" s="12"/>
      <c r="S15" s="12"/>
      <c r="T15" s="62" t="s">
        <v>42</v>
      </c>
      <c r="U15" s="16"/>
      <c r="V15" s="16"/>
      <c r="W15" s="16"/>
      <c r="X15" s="16"/>
      <c r="Y15" s="16"/>
      <c r="Z15" s="16"/>
      <c r="AA15" s="18"/>
      <c r="AB15" s="12"/>
      <c r="AC15" s="45" t="s">
        <v>35</v>
      </c>
      <c r="AD15" s="16"/>
      <c r="AE15" s="16"/>
      <c r="AF15" s="18"/>
      <c r="AG15" s="96" t="str">
        <f>IFERROR(VLOOKUP(MAXIFS(TSM!A:A,TSM!F:F,AC15),TSM!A:Q,14,FALSE),"")</f>
        <v/>
      </c>
      <c r="AH15" s="16"/>
      <c r="AI15" s="16"/>
      <c r="AJ15" s="18"/>
      <c r="AK15" s="12"/>
      <c r="AL15" s="99">
        <f t="array" ref="AL15">IF(AO17="❌ Invalid Start Date","", DATE(AL13, MATCH(AL11, {"Jan","Feb","Mar","Apr","May","Jun","Jul","Aug","Sep","Oct","Nov","Dec"},0), AL9) + TIME(8,0,0))</f>
        <v>45920.33333</v>
      </c>
      <c r="AM15" s="64"/>
      <c r="AN15" s="65"/>
      <c r="AO15" s="99">
        <f t="array" ref="AO15">IF(AO18="❌ Invalid End Date","", DATE(AO13, MATCH(AO11, {"Jan","Feb","Mar","Apr","May","Jun","Jul","Aug","Sep","Oct","Nov","Dec"},0), AO9) + TIME(8,0,0))</f>
        <v>45920.33333</v>
      </c>
      <c r="AP15" s="64"/>
      <c r="AQ15" s="65"/>
      <c r="AR15" s="12"/>
    </row>
    <row r="16">
      <c r="A16" s="12"/>
      <c r="B16" s="3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66" t="s">
        <v>28</v>
      </c>
      <c r="U16" s="16"/>
      <c r="V16" s="16"/>
      <c r="W16" s="18"/>
      <c r="X16" s="67">
        <f>SUMIFS(TSM!G:G,TSM!A:A,"&gt;="&amp;AL6,TSM!Q:Q,"Outflow")</f>
        <v>0</v>
      </c>
      <c r="Y16" s="16"/>
      <c r="Z16" s="16"/>
      <c r="AA16" s="18"/>
      <c r="AB16" s="12"/>
      <c r="AC16" s="45" t="s">
        <v>36</v>
      </c>
      <c r="AD16" s="16"/>
      <c r="AE16" s="16"/>
      <c r="AF16" s="18"/>
      <c r="AG16" s="96">
        <f>IFERROR(VLOOKUP(MAXIFS(TSM!A:A,TSM!F:F,AC16),TSM!A:Q,14,FALSE),"")</f>
        <v>31086</v>
      </c>
      <c r="AH16" s="16"/>
      <c r="AI16" s="16"/>
      <c r="AJ16" s="18"/>
      <c r="AK16" s="12"/>
      <c r="AL16" s="68" t="s">
        <v>37</v>
      </c>
      <c r="AR16" s="12"/>
    </row>
    <row r="17">
      <c r="A17" s="12"/>
      <c r="T17" s="66" t="s">
        <v>30</v>
      </c>
      <c r="U17" s="16"/>
      <c r="V17" s="16"/>
      <c r="W17" s="18"/>
      <c r="X17" s="67">
        <f>SUMIFS(TSM!K:K,TSM!A:A,"&gt;="&amp;AL6,TSM!Q:Q,"Outflow")</f>
        <v>0</v>
      </c>
      <c r="Y17" s="16"/>
      <c r="Z17" s="16"/>
      <c r="AA17" s="18"/>
      <c r="AC17" s="45" t="s">
        <v>38</v>
      </c>
      <c r="AD17" s="16"/>
      <c r="AE17" s="16"/>
      <c r="AF17" s="18"/>
      <c r="AG17" s="96">
        <f>IFERROR(VLOOKUP(MAXIFS(TSM!A:A,TSM!F:F,AC17),TSM!A:Q,14,FALSE),"")</f>
        <v>55000</v>
      </c>
      <c r="AH17" s="16"/>
      <c r="AI17" s="16"/>
      <c r="AJ17" s="18"/>
      <c r="AL17" s="100" t="s">
        <v>32</v>
      </c>
      <c r="AM17" s="64"/>
      <c r="AN17" s="65"/>
      <c r="AO17" s="70" t="str">
        <f t="array" ref="AO17">IF(AL9&gt;DAY(EOMONTH(DATE(AL13, MATCH(AL11, {"Jan","Feb","Mar","Apr","May","Jun","Jul","Aug","Sep","Oct","Nov","Dec"},0), 1), 0)), "❌ Invalid", "✓ Valid")</f>
        <v>✓ Valid</v>
      </c>
      <c r="AP17" s="64"/>
      <c r="AQ17" s="65"/>
    </row>
    <row r="18">
      <c r="A18" s="12"/>
      <c r="B18" s="3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66" t="s">
        <v>39</v>
      </c>
      <c r="U18" s="16"/>
      <c r="V18" s="16"/>
      <c r="W18" s="18"/>
      <c r="X18" s="71"/>
      <c r="Y18" s="16"/>
      <c r="Z18" s="16"/>
      <c r="AA18" s="18"/>
      <c r="AB18" s="12"/>
      <c r="AC18" s="72"/>
      <c r="AD18" s="16"/>
      <c r="AE18" s="16"/>
      <c r="AF18" s="18"/>
      <c r="AG18" s="96"/>
      <c r="AH18" s="16"/>
      <c r="AI18" s="16"/>
      <c r="AJ18" s="18"/>
      <c r="AK18" s="12"/>
      <c r="AL18" s="100" t="s">
        <v>33</v>
      </c>
      <c r="AM18" s="64"/>
      <c r="AN18" s="65"/>
      <c r="AO18" s="73" t="str">
        <f t="array" ref="AO18">IF(AO9&gt;DAY(EOMONTH(DATE(AO13, MATCH(AO11, {"Jan","Feb","Mar","Apr","May","Jun","Jul","Aug","Sep","Oct","Nov","Dec"},0), 1), 0)), "❌ Invalid", "✓ Valid")</f>
        <v>✓ Valid</v>
      </c>
      <c r="AP18" s="64"/>
      <c r="AQ18" s="65"/>
      <c r="AR18" s="12"/>
    </row>
    <row r="19">
      <c r="A19" s="12"/>
      <c r="B19" s="3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83" t="s">
        <v>43</v>
      </c>
      <c r="T19" s="83" t="s">
        <v>44</v>
      </c>
      <c r="X19" s="83" t="s">
        <v>45</v>
      </c>
      <c r="AA19" s="83" t="s">
        <v>46</v>
      </c>
      <c r="AD19" s="83" t="s">
        <v>47</v>
      </c>
      <c r="AG19" s="83" t="s">
        <v>28</v>
      </c>
      <c r="AJ19" s="83" t="s">
        <v>48</v>
      </c>
      <c r="AK19" s="83"/>
      <c r="AL19" s="83"/>
      <c r="AR19" s="12"/>
    </row>
    <row r="20">
      <c r="A20" s="12"/>
      <c r="B20" s="3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01">
        <f>IFERROR(__xludf.DUMMYFUNCTION("iferror(min(filter(TSM!A:A,TSM!A:A&gt;=AL15,TSM!A:A&lt;AO15 + 1,TSM!D:D=""Tank 1"")),maxifs(TSM!A:A,TSM!D:D,""Tank 1""))"),45918.40860819444)</f>
        <v>45918.40861</v>
      </c>
      <c r="T20" s="83">
        <f>vlookup(O20,TSM!A:Q,8,FALSE)</f>
        <v>2931</v>
      </c>
      <c r="X20" s="83">
        <f>SUMIFS(TSM!G:G,TSM!A:A,"&gt;=" &amp; AL15,TSM!A:A, "&lt;" &amp; AO15 + 1,TSM!Q:Q,"Inflow",TSM!D:D,"Tank 1")</f>
        <v>0</v>
      </c>
      <c r="AA20" s="12">
        <f>SUMIFS(TSM!G:G,TSM!A:A,"&gt;=" &amp; AL15,TSM!A:A, "&lt;" &amp; AO15 + 1,TSM!Q:Q,"Outflow",TSM!D:D,"Tank 1")</f>
        <v>0</v>
      </c>
      <c r="AD20" s="93">
        <f>SUMIFS(Sheet7!F:F,Sheet7!A:A,"&gt;=" &amp; AL15,Sheet7!A:A, "&lt;" &amp; AO15 + 1)</f>
        <v>0</v>
      </c>
      <c r="AG20" s="12">
        <f t="shared" ref="AG20:AG22" si="1">T20+X20-AA20+AD20</f>
        <v>2931</v>
      </c>
      <c r="AJ20" s="31">
        <f>StockOverview!B5-AG20</f>
        <v>-2931</v>
      </c>
      <c r="AL20" s="12"/>
      <c r="AM20" s="12"/>
      <c r="AN20" s="12"/>
      <c r="AO20" s="12"/>
      <c r="AP20" s="12"/>
      <c r="AQ20" s="12"/>
      <c r="AR20" s="12"/>
    </row>
    <row r="21" ht="15.75" customHeight="1">
      <c r="A21" s="12"/>
      <c r="B21" s="3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02">
        <f>IFERROR(__xludf.DUMMYFUNCTION("iferror(min(filter(TSM!A:A,TSM!A:A&gt;=AL15,TSM!A:A&lt;AO15 + 1,TSM!D:D=""Tank 2"")),maxifs(TSM!A:A,TSM!D:D,""Tank 2""))"),45919.067930798614)</f>
        <v>45919.06793</v>
      </c>
      <c r="T21" s="83">
        <f>vlookup(O21,TSM!A:Q,8,FALSE)</f>
        <v>34179</v>
      </c>
      <c r="X21" s="83">
        <f>SUMIFS(TSM!G:G,TSM!A:A,"&gt;="&amp;AL15,TSM!A:A, "&lt;"&amp;AO15 + 1,TSM!Q:Q,"Inflow",TSM!D:D,"Tank 2")</f>
        <v>0</v>
      </c>
      <c r="AA21" s="12">
        <f>SUMIFS(TSM!G:G,TSM!A:A,"&gt;=" &amp; AL15,TSM!A:A, "&lt;" &amp; AO15 + 1,TSM!Q:Q,"Outflow",TSM!D:D,"Tank 2")</f>
        <v>0</v>
      </c>
      <c r="AD21" s="93">
        <f>SUMIFS(Sheet7!M:M,Sheet7!H:H,"&gt;=" &amp; AL15,Sheet7!H:H, "&lt;" &amp; AO15 + 1)</f>
        <v>0</v>
      </c>
      <c r="AG21" s="12">
        <f t="shared" si="1"/>
        <v>34179</v>
      </c>
      <c r="AJ21" s="31">
        <f>StockOverview!B6-AG21</f>
        <v>-34179</v>
      </c>
      <c r="AL21" s="12"/>
      <c r="AM21" s="12"/>
      <c r="AN21" s="12"/>
      <c r="AO21" s="12"/>
      <c r="AP21" s="12"/>
      <c r="AQ21" s="12"/>
      <c r="AR21" s="12"/>
    </row>
    <row r="22" ht="15.75" customHeight="1">
      <c r="A22" s="12"/>
      <c r="B22" s="3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02">
        <f>IFERROR(__xludf.DUMMYFUNCTION("iferror(min(filter(TSM!A:A,TSM!A:A&gt;=AL15,TSM!A:A&lt;AO15 + 1,TSM!D:D=""Tank 3"")),maxifs(TSM!A:A,TSM!D:D,""Tank 3""))"),45919.36097150463)</f>
        <v>45919.36097</v>
      </c>
      <c r="T22" s="83">
        <f>vlookup(O22,TSM!A:Q,8,FALSE)</f>
        <v>283732</v>
      </c>
      <c r="X22" s="12">
        <f>SUMIFS(TSM!G:G,TSM!A:A,"&gt;=" &amp; AL15,TSM!A:A, "&lt;" &amp; AO15 + 1,TSM!Q:Q,"Inflow",TSM!D:D,"Tank 3")</f>
        <v>0</v>
      </c>
      <c r="AA22" s="12">
        <f>SUMIFS(TSM!G:G,TSM!A:A,"&gt;=" &amp; AL15,TSM!A:A, "&lt;" &amp; AO15 + 1,TSM!Q:Q,"Outflow",TSM!D:D,"Tank 3")</f>
        <v>0</v>
      </c>
      <c r="AD22" s="93">
        <f>SUMIFS(Sheet7!T:T,Sheet7!O:O,"&gt;=" &amp; AL15,Sheet7!O:O, "&lt;" &amp; AO15 + 1)</f>
        <v>0</v>
      </c>
      <c r="AG22" s="12">
        <f t="shared" si="1"/>
        <v>283732</v>
      </c>
      <c r="AJ22" s="31">
        <f>StockOverview!B7-AG22</f>
        <v>-15090</v>
      </c>
      <c r="AL22" s="12"/>
      <c r="AM22" s="12"/>
      <c r="AN22" s="12"/>
      <c r="AO22" s="12"/>
      <c r="AP22" s="12"/>
      <c r="AQ22" s="12"/>
      <c r="AR22" s="12"/>
    </row>
    <row r="23" ht="15.75" customHeight="1">
      <c r="A23" s="12"/>
      <c r="B23" s="3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K23" s="12"/>
      <c r="AL23" s="12"/>
      <c r="AM23" s="12"/>
      <c r="AN23" s="12"/>
      <c r="AO23" s="12"/>
      <c r="AP23" s="12"/>
      <c r="AQ23" s="12"/>
      <c r="AR23" s="12"/>
    </row>
    <row r="24" ht="15.75" customHeight="1">
      <c r="A24" s="12"/>
      <c r="B24" s="3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Z24" s="12"/>
      <c r="AA24" s="12"/>
      <c r="AB24" s="12"/>
      <c r="AC24" s="12"/>
      <c r="AD24" s="12"/>
      <c r="AE24" s="12"/>
      <c r="AF24" s="12"/>
      <c r="AG24" s="12"/>
      <c r="AK24" s="12"/>
      <c r="AL24" s="12"/>
      <c r="AM24" s="12"/>
      <c r="AN24" s="12"/>
      <c r="AO24" s="12"/>
      <c r="AP24" s="12"/>
      <c r="AQ24" s="12"/>
      <c r="AR24" s="12"/>
    </row>
    <row r="25" ht="15.75" customHeight="1">
      <c r="A25" s="12"/>
      <c r="B25" s="3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K25" s="12"/>
      <c r="AL25" s="12"/>
      <c r="AM25" s="12"/>
      <c r="AN25" s="12"/>
      <c r="AO25" s="12"/>
      <c r="AP25" s="12"/>
      <c r="AQ25" s="12"/>
      <c r="AR25" s="12"/>
    </row>
    <row r="26" ht="15.75" customHeight="1">
      <c r="A26" s="12"/>
      <c r="B26" s="3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</row>
    <row r="27" ht="15.75" customHeight="1">
      <c r="A27" s="12"/>
      <c r="B27" s="3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</row>
    <row r="28" ht="15.75" customHeight="1">
      <c r="A28" s="12"/>
      <c r="B28" s="3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</row>
    <row r="29" ht="15.75" customHeight="1">
      <c r="A29" s="12"/>
      <c r="B29" s="3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 ht="15.75" customHeight="1">
      <c r="A30" s="12"/>
      <c r="B30" s="3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ht="15.75" customHeight="1">
      <c r="A31" s="12"/>
      <c r="B31" s="3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</row>
    <row r="32" ht="15.75" customHeight="1">
      <c r="A32" s="12"/>
      <c r="B32" s="3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</row>
    <row r="33" ht="15.75" customHeight="1">
      <c r="A33" s="12"/>
      <c r="B33" s="3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</row>
    <row r="34" ht="15.75" customHeight="1">
      <c r="A34" s="12"/>
      <c r="B34" s="3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</row>
    <row r="35" ht="15.75" customHeight="1">
      <c r="A35" s="74"/>
      <c r="B35" s="75"/>
      <c r="C35" s="76"/>
      <c r="D35" s="77"/>
      <c r="E35" s="78"/>
      <c r="F35" s="76"/>
      <c r="G35" s="79"/>
      <c r="H35" s="79"/>
      <c r="I35" s="80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ht="15.75" customHeight="1">
      <c r="A36" s="81"/>
      <c r="B36" s="82"/>
      <c r="C36" s="12"/>
      <c r="D36" s="83"/>
      <c r="E36" s="12"/>
      <c r="F36" s="12"/>
      <c r="G36" s="12"/>
      <c r="H36" s="12"/>
      <c r="I36" s="8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</row>
    <row r="37" ht="15.75" customHeight="1">
      <c r="A37" s="85"/>
      <c r="B37" s="82"/>
      <c r="C37" s="12"/>
      <c r="D37" s="83"/>
      <c r="E37" s="12"/>
      <c r="F37" s="12"/>
      <c r="G37" s="86"/>
      <c r="H37" s="86"/>
      <c r="I37" s="8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ht="15.75" customHeight="1">
      <c r="A38" s="85"/>
      <c r="B38" s="82"/>
      <c r="C38" s="12"/>
      <c r="D38" s="12"/>
      <c r="E38" s="87"/>
      <c r="F38" s="12"/>
      <c r="G38" s="86"/>
      <c r="H38" s="86"/>
      <c r="I38" s="8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 ht="15.75" customHeight="1">
      <c r="A39" s="88"/>
      <c r="B39" s="89"/>
      <c r="C39" s="90"/>
      <c r="D39" s="90"/>
      <c r="E39" s="90"/>
      <c r="F39" s="90"/>
      <c r="G39" s="90"/>
      <c r="H39" s="90"/>
      <c r="I39" s="9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</row>
    <row r="40" ht="15.75" customHeight="1">
      <c r="A40" s="12"/>
      <c r="B40" s="3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</row>
    <row r="41" ht="15.75" customHeight="1">
      <c r="A41" s="12"/>
      <c r="B41" s="3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</row>
    <row r="42" ht="15.75" customHeight="1">
      <c r="A42" s="12"/>
      <c r="B42" s="3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</row>
    <row r="43" ht="15.75" customHeight="1">
      <c r="A43" s="12"/>
      <c r="B43" s="3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 ht="15.75" customHeight="1">
      <c r="A44" s="12"/>
      <c r="B44" s="3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  <row r="45" ht="15.75" customHeight="1">
      <c r="A45" s="12"/>
      <c r="B45" s="3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</row>
    <row r="46" ht="15.75" customHeight="1">
      <c r="A46" s="12"/>
      <c r="B46" s="3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</row>
    <row r="47" ht="15.75" customHeight="1">
      <c r="A47" s="12"/>
      <c r="B47" s="3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</row>
    <row r="48" ht="15.75" customHeight="1">
      <c r="A48" s="12"/>
      <c r="B48" s="3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</row>
    <row r="49" ht="15.75" customHeight="1">
      <c r="A49" s="12"/>
      <c r="B49" s="3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  <row r="50" ht="15.75" customHeight="1">
      <c r="A50" s="12"/>
      <c r="B50" s="3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 ht="15.75" customHeight="1">
      <c r="A51" s="12"/>
      <c r="B51" s="3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  <row r="52" ht="15.75" customHeight="1">
      <c r="A52" s="12"/>
      <c r="B52" s="3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</row>
    <row r="53" ht="15.75" customHeight="1">
      <c r="A53" s="12"/>
      <c r="B53" s="3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 ht="15.75" customHeight="1">
      <c r="A54" s="12"/>
      <c r="B54" s="3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</row>
    <row r="55" ht="15.75" customHeight="1">
      <c r="A55" s="12"/>
      <c r="B55" s="3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ht="15.75" customHeight="1">
      <c r="A56" s="12"/>
      <c r="B56" s="3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</row>
    <row r="57" ht="15.75" customHeight="1">
      <c r="A57" s="12"/>
      <c r="B57" s="3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</row>
    <row r="58" ht="15.75" customHeight="1">
      <c r="A58" s="12"/>
      <c r="B58" s="3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</row>
    <row r="59" ht="15.75" customHeight="1">
      <c r="A59" s="12"/>
      <c r="B59" s="3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</row>
    <row r="60" ht="15.75" customHeight="1">
      <c r="A60" s="12"/>
      <c r="B60" s="3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</row>
    <row r="61" ht="15.75" customHeight="1">
      <c r="A61" s="12"/>
      <c r="B61" s="3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</row>
    <row r="62" ht="15.75" customHeight="1">
      <c r="A62" s="12"/>
      <c r="B62" s="3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ht="15.75" customHeight="1">
      <c r="A63" s="12"/>
      <c r="B63" s="3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</row>
    <row r="64" ht="15.75" customHeight="1">
      <c r="A64" s="12"/>
      <c r="B64" s="3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</row>
    <row r="65" ht="15.75" customHeight="1">
      <c r="A65" s="12"/>
      <c r="B65" s="3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</row>
    <row r="66" ht="15.75" customHeight="1">
      <c r="A66" s="12"/>
      <c r="B66" s="3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</row>
    <row r="67" ht="15.75" customHeight="1">
      <c r="A67" s="12"/>
      <c r="B67" s="3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</row>
    <row r="68" ht="15.75" customHeight="1">
      <c r="A68" s="12"/>
      <c r="B68" s="3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</row>
    <row r="69" ht="15.75" customHeight="1">
      <c r="A69" s="12"/>
      <c r="B69" s="3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</row>
    <row r="70" ht="15.75" customHeight="1">
      <c r="A70" s="12"/>
      <c r="B70" s="3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</row>
    <row r="71" ht="15.75" customHeight="1">
      <c r="A71" s="12"/>
      <c r="B71" s="3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</row>
    <row r="72" ht="15.75" customHeight="1">
      <c r="A72" s="12"/>
      <c r="B72" s="3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</row>
    <row r="73" ht="15.75" customHeight="1">
      <c r="A73" s="12"/>
      <c r="B73" s="3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</row>
    <row r="74" ht="15.75" customHeight="1">
      <c r="A74" s="12"/>
      <c r="B74" s="3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</row>
    <row r="75" ht="15.75" customHeight="1">
      <c r="A75" s="12"/>
      <c r="B75" s="3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</row>
    <row r="76" ht="15.75" customHeight="1">
      <c r="A76" s="12"/>
      <c r="B76" s="3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</row>
    <row r="77" ht="15.75" customHeight="1">
      <c r="A77" s="12"/>
      <c r="B77" s="3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</row>
    <row r="78" ht="15.75" customHeight="1">
      <c r="A78" s="12"/>
      <c r="B78" s="3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</row>
    <row r="79" ht="15.75" customHeight="1">
      <c r="A79" s="12"/>
      <c r="B79" s="3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</row>
    <row r="80" ht="15.75" customHeight="1">
      <c r="A80" s="12"/>
      <c r="B80" s="3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</row>
    <row r="81" ht="15.75" customHeight="1">
      <c r="A81" s="12"/>
      <c r="B81" s="3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</row>
    <row r="82" ht="15.75" customHeight="1">
      <c r="A82" s="12"/>
      <c r="B82" s="3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</row>
    <row r="83" ht="15.75" customHeight="1">
      <c r="A83" s="12"/>
      <c r="B83" s="3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</row>
    <row r="84" ht="15.75" customHeight="1">
      <c r="A84" s="12"/>
      <c r="B84" s="3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</row>
    <row r="85" ht="15.75" customHeight="1">
      <c r="A85" s="12"/>
      <c r="B85" s="3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</row>
    <row r="86" ht="15.75" customHeight="1">
      <c r="A86" s="12"/>
      <c r="B86" s="3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</row>
    <row r="87" ht="15.75" customHeight="1">
      <c r="A87" s="12"/>
      <c r="B87" s="3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</row>
    <row r="88" ht="15.75" customHeight="1">
      <c r="A88" s="12"/>
      <c r="B88" s="3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</row>
    <row r="89" ht="15.75" customHeight="1">
      <c r="A89" s="12"/>
      <c r="B89" s="3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</row>
    <row r="90" ht="15.75" customHeight="1">
      <c r="A90" s="12"/>
      <c r="B90" s="3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</row>
    <row r="91" ht="15.75" customHeight="1">
      <c r="A91" s="12"/>
      <c r="B91" s="3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</row>
    <row r="92" ht="15.75" customHeight="1">
      <c r="A92" s="12"/>
      <c r="B92" s="3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</row>
    <row r="93" ht="15.75" customHeight="1">
      <c r="A93" s="12"/>
      <c r="B93" s="3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</row>
    <row r="94" ht="15.75" customHeight="1">
      <c r="A94" s="12"/>
      <c r="B94" s="3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</row>
    <row r="95" ht="15.75" customHeight="1">
      <c r="A95" s="12"/>
      <c r="B95" s="3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</row>
    <row r="96" ht="15.75" customHeight="1">
      <c r="A96" s="12"/>
      <c r="B96" s="3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</row>
    <row r="97" ht="15.75" customHeight="1">
      <c r="A97" s="12"/>
      <c r="B97" s="3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</row>
    <row r="98" ht="15.75" customHeight="1">
      <c r="A98" s="12"/>
      <c r="B98" s="3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</row>
    <row r="99" ht="15.75" customHeight="1">
      <c r="A99" s="12"/>
      <c r="B99" s="3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</row>
    <row r="100" ht="15.75" customHeight="1">
      <c r="A100" s="12"/>
      <c r="B100" s="3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</row>
    <row r="101" ht="15.75" customHeight="1">
      <c r="A101" s="12"/>
      <c r="B101" s="3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</row>
    <row r="102" ht="15.75" customHeight="1">
      <c r="A102" s="12"/>
      <c r="B102" s="3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</row>
    <row r="103" ht="15.75" customHeight="1">
      <c r="A103" s="12"/>
      <c r="B103" s="3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</row>
    <row r="104" ht="15.75" customHeight="1">
      <c r="A104" s="12"/>
      <c r="B104" s="3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</row>
    <row r="105" ht="15.75" customHeight="1">
      <c r="A105" s="12"/>
      <c r="B105" s="3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</row>
    <row r="106" ht="15.75" customHeight="1">
      <c r="A106" s="12"/>
      <c r="B106" s="3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</row>
    <row r="107" ht="15.75" customHeight="1">
      <c r="A107" s="12"/>
      <c r="B107" s="3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</row>
    <row r="108" ht="15.75" customHeight="1">
      <c r="A108" s="12"/>
      <c r="B108" s="3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</row>
    <row r="109" ht="15.75" customHeight="1">
      <c r="A109" s="12"/>
      <c r="B109" s="3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</row>
    <row r="110" ht="15.75" customHeight="1">
      <c r="A110" s="12"/>
      <c r="B110" s="3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</row>
    <row r="111" ht="15.75" customHeight="1">
      <c r="A111" s="12"/>
      <c r="B111" s="3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</row>
    <row r="112" ht="15.75" customHeight="1">
      <c r="A112" s="12"/>
      <c r="B112" s="3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</row>
    <row r="113" ht="15.75" customHeight="1">
      <c r="A113" s="12"/>
      <c r="B113" s="3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</row>
    <row r="114" ht="15.75" customHeight="1">
      <c r="A114" s="12"/>
      <c r="B114" s="3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</row>
    <row r="115" ht="15.75" customHeight="1">
      <c r="A115" s="12"/>
      <c r="B115" s="3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</row>
    <row r="116" ht="15.75" customHeight="1">
      <c r="A116" s="12"/>
      <c r="B116" s="3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</row>
    <row r="117" ht="15.75" customHeight="1">
      <c r="A117" s="12"/>
      <c r="B117" s="3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</row>
    <row r="118" ht="15.75" customHeight="1">
      <c r="A118" s="12"/>
      <c r="B118" s="3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</row>
    <row r="119" ht="15.75" customHeight="1">
      <c r="A119" s="12"/>
      <c r="B119" s="3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</row>
    <row r="120" ht="15.75" customHeight="1">
      <c r="A120" s="12"/>
      <c r="B120" s="3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</row>
    <row r="121" ht="15.75" customHeight="1">
      <c r="A121" s="12"/>
      <c r="B121" s="3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</row>
    <row r="122" ht="15.75" customHeight="1">
      <c r="A122" s="12"/>
      <c r="B122" s="3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</row>
    <row r="123" ht="15.75" customHeight="1">
      <c r="A123" s="12"/>
      <c r="B123" s="3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</row>
    <row r="124" ht="15.75" customHeight="1">
      <c r="A124" s="12"/>
      <c r="B124" s="3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</row>
    <row r="125" ht="15.75" customHeight="1">
      <c r="A125" s="12"/>
      <c r="B125" s="3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</row>
    <row r="126" ht="15.75" customHeight="1">
      <c r="A126" s="12"/>
      <c r="B126" s="3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</row>
    <row r="127" ht="15.75" customHeight="1">
      <c r="A127" s="12"/>
      <c r="B127" s="3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</row>
    <row r="128" ht="15.75" customHeight="1">
      <c r="A128" s="12"/>
      <c r="B128" s="3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</row>
    <row r="129" ht="15.75" customHeight="1">
      <c r="A129" s="12"/>
      <c r="B129" s="3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</row>
    <row r="130" ht="15.75" customHeight="1">
      <c r="A130" s="12"/>
      <c r="B130" s="3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</row>
    <row r="131" ht="15.75" customHeight="1">
      <c r="A131" s="12"/>
      <c r="B131" s="3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</row>
    <row r="132" ht="15.75" customHeight="1">
      <c r="A132" s="12"/>
      <c r="B132" s="3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</row>
    <row r="133" ht="15.75" customHeight="1">
      <c r="A133" s="12"/>
      <c r="B133" s="3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  <row r="134" ht="15.75" customHeight="1">
      <c r="A134" s="12"/>
      <c r="B134" s="3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</row>
    <row r="135" ht="15.75" customHeight="1">
      <c r="A135" s="12"/>
      <c r="B135" s="3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</row>
    <row r="136" ht="15.75" customHeight="1">
      <c r="A136" s="12"/>
      <c r="B136" s="3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</row>
    <row r="137" ht="15.75" customHeight="1">
      <c r="A137" s="12"/>
      <c r="B137" s="3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</row>
    <row r="138" ht="15.75" customHeight="1">
      <c r="A138" s="12"/>
      <c r="B138" s="3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</row>
    <row r="139" ht="15.75" customHeight="1">
      <c r="A139" s="12"/>
      <c r="B139" s="3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</row>
    <row r="140" ht="15.75" customHeight="1">
      <c r="A140" s="12"/>
      <c r="B140" s="3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</row>
    <row r="141" ht="15.75" customHeight="1">
      <c r="A141" s="12"/>
      <c r="B141" s="3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</row>
    <row r="142" ht="15.75" customHeight="1">
      <c r="A142" s="12"/>
      <c r="B142" s="3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</row>
    <row r="143" ht="15.75" customHeight="1">
      <c r="A143" s="12"/>
      <c r="B143" s="3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</row>
    <row r="144" ht="15.75" customHeight="1">
      <c r="A144" s="12"/>
      <c r="B144" s="3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</row>
    <row r="145" ht="15.75" customHeight="1">
      <c r="A145" s="12"/>
      <c r="B145" s="3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</row>
    <row r="146" ht="15.75" customHeight="1">
      <c r="A146" s="12"/>
      <c r="B146" s="3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</row>
    <row r="147" ht="15.75" customHeight="1">
      <c r="A147" s="12"/>
      <c r="B147" s="3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</row>
    <row r="148" ht="15.75" customHeight="1">
      <c r="A148" s="12"/>
      <c r="B148" s="3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</row>
    <row r="149" ht="15.75" customHeight="1">
      <c r="A149" s="12"/>
      <c r="B149" s="3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</row>
    <row r="150" ht="15.75" customHeight="1">
      <c r="A150" s="12"/>
      <c r="B150" s="3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</row>
    <row r="151" ht="15.75" customHeight="1">
      <c r="A151" s="12"/>
      <c r="B151" s="3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</row>
    <row r="152" ht="15.75" customHeight="1">
      <c r="A152" s="12"/>
      <c r="B152" s="3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</row>
    <row r="153" ht="15.75" customHeight="1">
      <c r="A153" s="12"/>
      <c r="B153" s="3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</row>
    <row r="154" ht="15.75" customHeight="1">
      <c r="A154" s="12"/>
      <c r="B154" s="3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</row>
    <row r="155" ht="15.75" customHeight="1">
      <c r="A155" s="12"/>
      <c r="B155" s="3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</row>
    <row r="156" ht="15.75" customHeight="1">
      <c r="A156" s="12"/>
      <c r="B156" s="3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</row>
    <row r="157" ht="15.75" customHeight="1">
      <c r="A157" s="12"/>
      <c r="B157" s="3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</row>
    <row r="158" ht="15.75" customHeight="1">
      <c r="A158" s="12"/>
      <c r="B158" s="3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</row>
    <row r="159" ht="15.75" customHeight="1">
      <c r="A159" s="12"/>
      <c r="B159" s="3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</row>
    <row r="160" ht="15.75" customHeight="1">
      <c r="A160" s="12"/>
      <c r="B160" s="3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</row>
    <row r="161" ht="15.75" customHeight="1">
      <c r="A161" s="12"/>
      <c r="B161" s="3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</row>
    <row r="162" ht="15.75" customHeight="1">
      <c r="A162" s="12"/>
      <c r="B162" s="3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</row>
    <row r="163" ht="15.75" customHeight="1">
      <c r="A163" s="12"/>
      <c r="B163" s="3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</row>
    <row r="164" ht="15.75" customHeight="1">
      <c r="A164" s="12"/>
      <c r="B164" s="3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 ht="15.75" customHeight="1">
      <c r="A165" s="12"/>
      <c r="B165" s="3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</row>
    <row r="166" ht="15.75" customHeight="1">
      <c r="A166" s="12"/>
      <c r="B166" s="3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</row>
    <row r="167" ht="15.75" customHeight="1">
      <c r="A167" s="12"/>
      <c r="B167" s="3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</row>
    <row r="168" ht="15.75" customHeight="1">
      <c r="A168" s="12"/>
      <c r="B168" s="3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</row>
    <row r="169" ht="15.75" customHeight="1">
      <c r="A169" s="12"/>
      <c r="B169" s="3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</row>
    <row r="170" ht="15.75" customHeight="1">
      <c r="A170" s="12"/>
      <c r="B170" s="3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</row>
    <row r="171" ht="15.75" customHeight="1">
      <c r="A171" s="12"/>
      <c r="B171" s="3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</row>
    <row r="172" ht="15.75" customHeight="1">
      <c r="A172" s="12"/>
      <c r="B172" s="3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</row>
    <row r="173" ht="15.75" customHeight="1">
      <c r="A173" s="12"/>
      <c r="B173" s="3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</row>
    <row r="174" ht="15.75" customHeight="1">
      <c r="A174" s="12"/>
      <c r="B174" s="3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</row>
    <row r="175" ht="15.75" customHeight="1">
      <c r="A175" s="12"/>
      <c r="B175" s="3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</row>
    <row r="176" ht="15.75" customHeight="1">
      <c r="A176" s="12"/>
      <c r="B176" s="3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  <row r="177" ht="15.75" customHeight="1">
      <c r="A177" s="12"/>
      <c r="B177" s="3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</row>
    <row r="178" ht="15.75" customHeight="1">
      <c r="A178" s="12"/>
      <c r="B178" s="3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</row>
    <row r="179" ht="15.75" customHeight="1">
      <c r="A179" s="12"/>
      <c r="B179" s="3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</row>
    <row r="180" ht="15.75" customHeight="1">
      <c r="A180" s="12"/>
      <c r="B180" s="3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</row>
    <row r="181" ht="15.75" customHeight="1">
      <c r="A181" s="12"/>
      <c r="B181" s="3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</row>
    <row r="182" ht="15.75" customHeight="1">
      <c r="A182" s="12"/>
      <c r="B182" s="3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</row>
    <row r="183" ht="15.75" customHeight="1">
      <c r="A183" s="12"/>
      <c r="B183" s="3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</row>
    <row r="184" ht="15.75" customHeight="1">
      <c r="A184" s="12"/>
      <c r="B184" s="3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</row>
    <row r="185" ht="15.75" customHeight="1">
      <c r="A185" s="12"/>
      <c r="B185" s="3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</row>
    <row r="186" ht="15.75" customHeight="1">
      <c r="A186" s="12"/>
      <c r="B186" s="3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</row>
    <row r="187" ht="15.75" customHeight="1">
      <c r="A187" s="12"/>
      <c r="B187" s="3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</row>
    <row r="188" ht="15.75" customHeight="1">
      <c r="A188" s="12"/>
      <c r="B188" s="3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</row>
    <row r="189" ht="15.75" customHeight="1">
      <c r="A189" s="12"/>
      <c r="B189" s="3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</row>
    <row r="190" ht="15.75" customHeight="1">
      <c r="A190" s="12"/>
      <c r="B190" s="3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</row>
    <row r="191" ht="15.75" customHeight="1">
      <c r="A191" s="12"/>
      <c r="B191" s="3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</row>
    <row r="192" ht="15.75" customHeight="1">
      <c r="A192" s="12"/>
      <c r="B192" s="3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</row>
    <row r="193" ht="15.75" customHeight="1">
      <c r="A193" s="12"/>
      <c r="B193" s="3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</row>
    <row r="194" ht="15.75" customHeight="1">
      <c r="A194" s="12"/>
      <c r="B194" s="3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</row>
    <row r="195" ht="15.75" customHeight="1">
      <c r="A195" s="12"/>
      <c r="B195" s="3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</row>
    <row r="196" ht="15.75" customHeight="1">
      <c r="A196" s="12"/>
      <c r="B196" s="3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</row>
    <row r="197" ht="15.75" customHeight="1">
      <c r="A197" s="12"/>
      <c r="B197" s="3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</row>
    <row r="198" ht="15.75" customHeight="1">
      <c r="A198" s="12"/>
      <c r="B198" s="3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</row>
    <row r="199" ht="15.75" customHeight="1">
      <c r="A199" s="12"/>
      <c r="B199" s="3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</row>
    <row r="200" ht="15.75" customHeight="1">
      <c r="A200" s="12"/>
      <c r="B200" s="3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</row>
    <row r="201" ht="15.75" customHeight="1">
      <c r="A201" s="12"/>
      <c r="B201" s="3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</row>
    <row r="202" ht="15.75" customHeight="1">
      <c r="A202" s="12"/>
      <c r="B202" s="3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</row>
    <row r="203" ht="15.75" customHeight="1">
      <c r="A203" s="12"/>
      <c r="B203" s="3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</row>
    <row r="204" ht="15.75" customHeight="1">
      <c r="A204" s="12"/>
      <c r="B204" s="3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</row>
    <row r="205" ht="15.75" customHeight="1">
      <c r="A205" s="12"/>
      <c r="B205" s="3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</row>
    <row r="206" ht="15.75" customHeight="1">
      <c r="A206" s="12"/>
      <c r="B206" s="3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</row>
    <row r="207" ht="15.75" customHeight="1">
      <c r="A207" s="12"/>
      <c r="B207" s="3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</row>
    <row r="208" ht="15.75" customHeight="1">
      <c r="A208" s="12"/>
      <c r="B208" s="3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</row>
    <row r="209" ht="15.75" customHeight="1">
      <c r="A209" s="12"/>
      <c r="B209" s="3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</row>
    <row r="210" ht="15.75" customHeight="1">
      <c r="A210" s="12"/>
      <c r="B210" s="3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</row>
    <row r="211" ht="15.75" customHeight="1">
      <c r="A211" s="12"/>
      <c r="B211" s="3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</row>
    <row r="212" ht="15.75" customHeight="1">
      <c r="A212" s="12"/>
      <c r="B212" s="3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</row>
    <row r="213" ht="15.75" customHeight="1">
      <c r="A213" s="12"/>
      <c r="B213" s="3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</row>
    <row r="214" ht="15.75" customHeight="1">
      <c r="A214" s="12"/>
      <c r="B214" s="3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</row>
    <row r="215" ht="15.75" customHeight="1">
      <c r="A215" s="12"/>
      <c r="B215" s="3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</row>
    <row r="216" ht="15.75" customHeight="1">
      <c r="A216" s="12"/>
      <c r="B216" s="3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</row>
    <row r="217" ht="15.75" customHeight="1">
      <c r="A217" s="12"/>
      <c r="B217" s="3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</row>
    <row r="218" ht="15.75" customHeight="1">
      <c r="A218" s="12"/>
      <c r="B218" s="3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</row>
    <row r="219" ht="15.75" customHeight="1">
      <c r="A219" s="12"/>
      <c r="B219" s="3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</row>
    <row r="220" ht="15.75" customHeight="1">
      <c r="A220" s="12"/>
      <c r="B220" s="3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</row>
    <row r="221" ht="15.75" customHeight="1">
      <c r="A221" s="12"/>
      <c r="B221" s="3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</row>
    <row r="222" ht="15.75" customHeight="1">
      <c r="A222" s="12"/>
      <c r="B222" s="3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</row>
    <row r="223" ht="15.75" customHeight="1">
      <c r="A223" s="12"/>
      <c r="B223" s="3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</row>
    <row r="224" ht="15.75" customHeight="1">
      <c r="A224" s="12"/>
      <c r="B224" s="3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</row>
    <row r="225" ht="15.75" customHeight="1">
      <c r="A225" s="12"/>
      <c r="B225" s="3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</row>
    <row r="226" ht="15.75" customHeight="1">
      <c r="A226" s="12"/>
      <c r="B226" s="3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</row>
    <row r="227" ht="15.75" customHeight="1">
      <c r="A227" s="12"/>
      <c r="B227" s="3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</row>
    <row r="228" ht="15.75" customHeight="1">
      <c r="A228" s="12"/>
      <c r="B228" s="3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</row>
    <row r="229" ht="15.75" customHeight="1">
      <c r="A229" s="12"/>
      <c r="B229" s="3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</row>
    <row r="230" ht="15.75" customHeight="1">
      <c r="A230" s="12"/>
      <c r="B230" s="3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</row>
    <row r="231" ht="15.75" customHeight="1">
      <c r="A231" s="12"/>
      <c r="B231" s="3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</row>
    <row r="232" ht="15.75" customHeight="1">
      <c r="A232" s="12"/>
      <c r="B232" s="3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</row>
    <row r="233" ht="15.75" customHeight="1">
      <c r="A233" s="12"/>
      <c r="B233" s="3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</row>
    <row r="234" ht="15.75" customHeight="1">
      <c r="A234" s="12"/>
      <c r="B234" s="3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</row>
    <row r="235" ht="15.75" customHeight="1">
      <c r="A235" s="12"/>
      <c r="B235" s="3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</row>
    <row r="236" ht="15.75" customHeight="1">
      <c r="A236" s="12"/>
      <c r="B236" s="3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</row>
    <row r="237" ht="15.75" customHeight="1">
      <c r="A237" s="12"/>
      <c r="B237" s="3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</row>
    <row r="238" ht="15.75" customHeight="1">
      <c r="A238" s="12"/>
      <c r="B238" s="3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</row>
    <row r="239" ht="15.75" customHeight="1">
      <c r="A239" s="12"/>
      <c r="B239" s="3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</row>
    <row r="240" ht="15.75" customHeight="1">
      <c r="A240" s="12"/>
      <c r="B240" s="3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</row>
    <row r="241" ht="15.75" customHeight="1">
      <c r="A241" s="12"/>
      <c r="B241" s="3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</row>
    <row r="242" ht="15.75" customHeight="1">
      <c r="A242" s="12"/>
      <c r="B242" s="3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</row>
    <row r="243" ht="15.75" customHeight="1">
      <c r="A243" s="12"/>
      <c r="B243" s="3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</row>
    <row r="244" ht="15.75" customHeight="1">
      <c r="A244" s="12"/>
      <c r="B244" s="3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</row>
    <row r="245" ht="15.75" customHeight="1">
      <c r="A245" s="12"/>
      <c r="B245" s="3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</row>
    <row r="246" ht="15.75" customHeight="1">
      <c r="A246" s="12"/>
      <c r="B246" s="3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</row>
    <row r="247" ht="15.75" customHeight="1">
      <c r="A247" s="12"/>
      <c r="B247" s="3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</row>
    <row r="248" ht="15.75" customHeight="1">
      <c r="A248" s="12"/>
      <c r="B248" s="3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</row>
    <row r="249" ht="15.75" customHeight="1">
      <c r="A249" s="12"/>
      <c r="B249" s="3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</row>
    <row r="250" ht="15.75" customHeight="1">
      <c r="A250" s="12"/>
      <c r="B250" s="3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</row>
    <row r="251" ht="15.75" customHeight="1">
      <c r="A251" s="12"/>
      <c r="B251" s="3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</row>
    <row r="252" ht="15.75" customHeight="1">
      <c r="A252" s="12"/>
      <c r="B252" s="3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</row>
    <row r="253" ht="15.75" customHeight="1">
      <c r="A253" s="12"/>
      <c r="B253" s="3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</row>
    <row r="254" ht="15.75" customHeight="1">
      <c r="A254" s="12"/>
      <c r="B254" s="3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</row>
    <row r="255" ht="15.75" customHeight="1">
      <c r="A255" s="12"/>
      <c r="B255" s="3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</row>
    <row r="256" ht="15.75" customHeight="1">
      <c r="A256" s="12"/>
      <c r="B256" s="3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</row>
    <row r="257" ht="15.75" customHeight="1">
      <c r="A257" s="12"/>
      <c r="B257" s="3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</row>
    <row r="258" ht="15.75" customHeight="1">
      <c r="A258" s="12"/>
      <c r="B258" s="3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</row>
    <row r="259" ht="15.75" customHeight="1">
      <c r="A259" s="12"/>
      <c r="B259" s="3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</row>
    <row r="260" ht="15.75" customHeight="1">
      <c r="A260" s="12"/>
      <c r="B260" s="3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</row>
    <row r="261" ht="15.75" customHeight="1">
      <c r="A261" s="12"/>
      <c r="B261" s="3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</row>
    <row r="262" ht="15.75" customHeight="1">
      <c r="A262" s="12"/>
      <c r="B262" s="3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</row>
    <row r="263" ht="15.75" customHeight="1">
      <c r="A263" s="12"/>
      <c r="B263" s="3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</row>
    <row r="264" ht="15.75" customHeight="1">
      <c r="A264" s="12"/>
      <c r="B264" s="3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</row>
    <row r="265" ht="15.75" customHeight="1">
      <c r="A265" s="12"/>
      <c r="B265" s="3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</row>
    <row r="266" ht="15.75" customHeight="1">
      <c r="A266" s="12"/>
      <c r="B266" s="3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</row>
    <row r="267" ht="15.75" customHeight="1">
      <c r="A267" s="12"/>
      <c r="B267" s="3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</row>
    <row r="268" ht="15.75" customHeight="1">
      <c r="A268" s="12"/>
      <c r="B268" s="3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</row>
    <row r="269" ht="15.75" customHeight="1">
      <c r="A269" s="12"/>
      <c r="B269" s="3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</row>
    <row r="270" ht="15.75" customHeight="1">
      <c r="A270" s="12"/>
      <c r="B270" s="3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</row>
    <row r="271" ht="15.75" customHeight="1">
      <c r="A271" s="12"/>
      <c r="B271" s="3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</row>
    <row r="272" ht="15.75" customHeight="1">
      <c r="A272" s="12"/>
      <c r="B272" s="3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</row>
    <row r="273" ht="15.75" customHeight="1">
      <c r="A273" s="12"/>
      <c r="B273" s="3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</row>
    <row r="274" ht="15.75" customHeight="1">
      <c r="A274" s="12"/>
      <c r="B274" s="3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</row>
    <row r="275" ht="15.75" customHeight="1">
      <c r="A275" s="12"/>
      <c r="B275" s="3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</row>
    <row r="276" ht="15.75" customHeight="1">
      <c r="A276" s="12"/>
      <c r="B276" s="3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</row>
    <row r="277" ht="15.75" customHeight="1">
      <c r="A277" s="12"/>
      <c r="B277" s="3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</row>
    <row r="278" ht="15.75" customHeight="1">
      <c r="A278" s="12"/>
      <c r="B278" s="3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</row>
    <row r="279" ht="15.75" customHeight="1">
      <c r="A279" s="12"/>
      <c r="B279" s="3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</row>
    <row r="280" ht="15.75" customHeight="1">
      <c r="A280" s="12"/>
      <c r="B280" s="3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</row>
    <row r="281" ht="15.75" customHeight="1">
      <c r="A281" s="12"/>
      <c r="B281" s="3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</row>
    <row r="282" ht="15.75" customHeight="1">
      <c r="A282" s="12"/>
      <c r="B282" s="3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</row>
    <row r="283" ht="15.75" customHeight="1">
      <c r="A283" s="12"/>
      <c r="B283" s="3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</row>
    <row r="284" ht="15.75" customHeight="1">
      <c r="A284" s="12"/>
      <c r="B284" s="3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</row>
    <row r="285" ht="15.75" customHeight="1">
      <c r="A285" s="12"/>
      <c r="B285" s="3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</row>
    <row r="286" ht="15.75" customHeight="1">
      <c r="A286" s="12"/>
      <c r="B286" s="3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</row>
    <row r="287" ht="15.75" customHeight="1">
      <c r="A287" s="12"/>
      <c r="B287" s="3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</row>
    <row r="288" ht="15.75" customHeight="1">
      <c r="A288" s="12"/>
      <c r="B288" s="3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</row>
    <row r="289" ht="15.75" customHeight="1">
      <c r="A289" s="12"/>
      <c r="B289" s="3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</row>
    <row r="290" ht="15.75" customHeight="1">
      <c r="A290" s="12"/>
      <c r="B290" s="3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</row>
    <row r="291" ht="15.75" customHeight="1">
      <c r="A291" s="12"/>
      <c r="B291" s="3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</row>
    <row r="292" ht="15.75" customHeight="1">
      <c r="A292" s="12"/>
      <c r="B292" s="3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</row>
    <row r="293" ht="15.75" customHeight="1">
      <c r="A293" s="12"/>
      <c r="B293" s="3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</row>
    <row r="294" ht="15.75" customHeight="1">
      <c r="A294" s="12"/>
      <c r="B294" s="3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</row>
    <row r="295" ht="15.75" customHeight="1">
      <c r="A295" s="12"/>
      <c r="B295" s="3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</row>
    <row r="296" ht="15.75" customHeight="1">
      <c r="A296" s="12"/>
      <c r="B296" s="3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</row>
    <row r="297" ht="15.75" customHeight="1">
      <c r="A297" s="12"/>
      <c r="B297" s="3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</row>
    <row r="298" ht="15.75" customHeight="1">
      <c r="A298" s="12"/>
      <c r="B298" s="3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</row>
    <row r="299" ht="15.75" customHeight="1">
      <c r="A299" s="12"/>
      <c r="B299" s="3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</row>
    <row r="300" ht="15.75" customHeight="1">
      <c r="A300" s="12"/>
      <c r="B300" s="3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</row>
    <row r="301" ht="15.75" customHeight="1">
      <c r="A301" s="12"/>
      <c r="B301" s="3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</row>
    <row r="302" ht="15.75" customHeight="1">
      <c r="A302" s="12"/>
      <c r="B302" s="3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</row>
    <row r="303" ht="15.75" customHeight="1">
      <c r="A303" s="12"/>
      <c r="B303" s="3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</row>
    <row r="304" ht="15.75" customHeight="1">
      <c r="A304" s="12"/>
      <c r="B304" s="3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</row>
    <row r="305" ht="15.75" customHeight="1">
      <c r="A305" s="12"/>
      <c r="B305" s="3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</row>
    <row r="306" ht="15.75" customHeight="1">
      <c r="A306" s="12"/>
      <c r="B306" s="3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</row>
    <row r="307" ht="15.75" customHeight="1">
      <c r="A307" s="12"/>
      <c r="B307" s="3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</row>
    <row r="308" ht="15.75" customHeight="1">
      <c r="A308" s="12"/>
      <c r="B308" s="3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</row>
    <row r="309" ht="15.75" customHeight="1">
      <c r="A309" s="12"/>
      <c r="B309" s="3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</row>
    <row r="310" ht="15.75" customHeight="1">
      <c r="A310" s="12"/>
      <c r="B310" s="3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</row>
    <row r="311" ht="15.75" customHeight="1">
      <c r="A311" s="12"/>
      <c r="B311" s="3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</row>
    <row r="312" ht="15.75" customHeight="1">
      <c r="A312" s="12"/>
      <c r="B312" s="3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</row>
    <row r="313" ht="15.75" customHeight="1">
      <c r="A313" s="12"/>
      <c r="B313" s="3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</row>
    <row r="314" ht="15.75" customHeight="1">
      <c r="A314" s="12"/>
      <c r="B314" s="3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</row>
    <row r="315" ht="15.75" customHeight="1">
      <c r="A315" s="12"/>
      <c r="B315" s="3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</row>
    <row r="316" ht="15.75" customHeight="1">
      <c r="A316" s="12"/>
      <c r="B316" s="3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</row>
    <row r="317" ht="15.75" customHeight="1">
      <c r="A317" s="12"/>
      <c r="B317" s="3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</row>
    <row r="318" ht="15.75" customHeight="1">
      <c r="A318" s="12"/>
      <c r="B318" s="3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</row>
    <row r="319" ht="15.75" customHeight="1">
      <c r="A319" s="12"/>
      <c r="B319" s="3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</row>
    <row r="320" ht="15.75" customHeight="1">
      <c r="A320" s="12"/>
      <c r="B320" s="3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</row>
    <row r="321" ht="15.75" customHeight="1">
      <c r="A321" s="12"/>
      <c r="B321" s="3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</row>
    <row r="322" ht="15.75" customHeight="1">
      <c r="A322" s="12"/>
      <c r="B322" s="3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</row>
    <row r="323" ht="15.75" customHeight="1">
      <c r="A323" s="12"/>
      <c r="B323" s="3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</row>
    <row r="324" ht="15.75" customHeight="1">
      <c r="A324" s="12"/>
      <c r="B324" s="3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</row>
    <row r="325" ht="15.75" customHeight="1">
      <c r="A325" s="12"/>
      <c r="B325" s="3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</row>
    <row r="326" ht="15.75" customHeight="1">
      <c r="A326" s="12"/>
      <c r="B326" s="3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</row>
    <row r="327" ht="15.75" customHeight="1">
      <c r="A327" s="12"/>
      <c r="B327" s="3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</row>
    <row r="328" ht="15.75" customHeight="1">
      <c r="A328" s="12"/>
      <c r="B328" s="3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</row>
    <row r="329" ht="15.75" customHeight="1">
      <c r="A329" s="12"/>
      <c r="B329" s="3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</row>
    <row r="330" ht="15.75" customHeight="1">
      <c r="A330" s="12"/>
      <c r="B330" s="3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</row>
    <row r="331" ht="15.75" customHeight="1">
      <c r="A331" s="12"/>
      <c r="B331" s="3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</row>
    <row r="332" ht="15.75" customHeight="1">
      <c r="A332" s="12"/>
      <c r="B332" s="3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</row>
    <row r="333" ht="15.75" customHeight="1">
      <c r="A333" s="12"/>
      <c r="B333" s="3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</row>
    <row r="334" ht="15.75" customHeight="1">
      <c r="A334" s="12"/>
      <c r="B334" s="3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</row>
    <row r="335" ht="15.75" customHeight="1">
      <c r="A335" s="12"/>
      <c r="B335" s="3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</row>
    <row r="336" ht="15.75" customHeight="1">
      <c r="A336" s="12"/>
      <c r="B336" s="3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</row>
    <row r="337" ht="15.75" customHeight="1">
      <c r="A337" s="12"/>
      <c r="B337" s="3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</row>
    <row r="338" ht="15.75" customHeight="1">
      <c r="A338" s="12"/>
      <c r="B338" s="3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</row>
    <row r="339" ht="15.75" customHeight="1">
      <c r="A339" s="12"/>
      <c r="B339" s="3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</row>
    <row r="340" ht="15.75" customHeight="1">
      <c r="A340" s="12"/>
      <c r="B340" s="3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</row>
    <row r="341" ht="15.75" customHeight="1">
      <c r="A341" s="12"/>
      <c r="B341" s="3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</row>
    <row r="342" ht="15.75" customHeight="1">
      <c r="A342" s="12"/>
      <c r="B342" s="3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</row>
    <row r="343" ht="15.75" customHeight="1">
      <c r="A343" s="12"/>
      <c r="B343" s="3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</row>
    <row r="344" ht="15.75" customHeight="1">
      <c r="A344" s="12"/>
      <c r="B344" s="3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</row>
    <row r="345" ht="15.75" customHeight="1">
      <c r="A345" s="12"/>
      <c r="B345" s="3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</row>
    <row r="346" ht="15.75" customHeight="1">
      <c r="A346" s="12"/>
      <c r="B346" s="3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</row>
    <row r="347" ht="15.75" customHeight="1">
      <c r="A347" s="12"/>
      <c r="B347" s="3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</row>
    <row r="348" ht="15.75" customHeight="1">
      <c r="A348" s="12"/>
      <c r="B348" s="3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</row>
    <row r="349" ht="15.75" customHeight="1">
      <c r="A349" s="12"/>
      <c r="B349" s="3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</row>
    <row r="350" ht="15.75" customHeight="1">
      <c r="A350" s="12"/>
      <c r="B350" s="3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</row>
    <row r="351" ht="15.75" customHeight="1">
      <c r="A351" s="12"/>
      <c r="B351" s="3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</row>
    <row r="352" ht="15.75" customHeight="1">
      <c r="A352" s="12"/>
      <c r="B352" s="3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</row>
    <row r="353" ht="15.75" customHeight="1">
      <c r="A353" s="12"/>
      <c r="B353" s="3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</row>
    <row r="354" ht="15.75" customHeight="1">
      <c r="A354" s="12"/>
      <c r="B354" s="3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</row>
    <row r="355" ht="15.75" customHeight="1">
      <c r="A355" s="12"/>
      <c r="B355" s="3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</row>
    <row r="356" ht="15.75" customHeight="1">
      <c r="A356" s="12"/>
      <c r="B356" s="3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</row>
    <row r="357" ht="15.75" customHeight="1">
      <c r="A357" s="12"/>
      <c r="B357" s="3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</row>
    <row r="358" ht="15.75" customHeight="1">
      <c r="A358" s="12"/>
      <c r="B358" s="3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</row>
    <row r="359" ht="15.75" customHeight="1">
      <c r="A359" s="12"/>
      <c r="B359" s="3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</row>
    <row r="360" ht="15.75" customHeight="1">
      <c r="A360" s="12"/>
      <c r="B360" s="3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</row>
    <row r="361" ht="15.75" customHeight="1">
      <c r="A361" s="12"/>
      <c r="B361" s="3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</row>
    <row r="362" ht="15.75" customHeight="1">
      <c r="A362" s="12"/>
      <c r="B362" s="3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</row>
    <row r="363" ht="15.75" customHeight="1">
      <c r="A363" s="12"/>
      <c r="B363" s="3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</row>
    <row r="364" ht="15.75" customHeight="1">
      <c r="A364" s="12"/>
      <c r="B364" s="3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</row>
    <row r="365" ht="15.75" customHeight="1">
      <c r="A365" s="12"/>
      <c r="B365" s="3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</row>
    <row r="366" ht="15.75" customHeight="1">
      <c r="A366" s="12"/>
      <c r="B366" s="3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</row>
    <row r="367" ht="15.75" customHeight="1">
      <c r="A367" s="12"/>
      <c r="B367" s="3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</row>
    <row r="368" ht="15.75" customHeight="1">
      <c r="A368" s="12"/>
      <c r="B368" s="3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</row>
    <row r="369" ht="15.75" customHeight="1">
      <c r="A369" s="12"/>
      <c r="B369" s="3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</row>
    <row r="370" ht="15.75" customHeight="1">
      <c r="A370" s="12"/>
      <c r="B370" s="3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</row>
    <row r="371" ht="15.75" customHeight="1">
      <c r="A371" s="12"/>
      <c r="B371" s="3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</row>
    <row r="372" ht="15.75" customHeight="1">
      <c r="A372" s="12"/>
      <c r="B372" s="3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</row>
    <row r="373" ht="15.75" customHeight="1">
      <c r="A373" s="12"/>
      <c r="B373" s="3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</row>
    <row r="374" ht="15.75" customHeight="1">
      <c r="A374" s="12"/>
      <c r="B374" s="3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</row>
    <row r="375" ht="15.75" customHeight="1">
      <c r="A375" s="12"/>
      <c r="B375" s="3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</row>
    <row r="376" ht="15.75" customHeight="1">
      <c r="A376" s="12"/>
      <c r="B376" s="3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</row>
    <row r="377" ht="15.75" customHeight="1">
      <c r="A377" s="12"/>
      <c r="B377" s="3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</row>
    <row r="378" ht="15.75" customHeight="1">
      <c r="A378" s="12"/>
      <c r="B378" s="3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</row>
    <row r="379" ht="15.75" customHeight="1">
      <c r="A379" s="12"/>
      <c r="B379" s="3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</row>
    <row r="380" ht="15.75" customHeight="1">
      <c r="A380" s="12"/>
      <c r="B380" s="3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</row>
    <row r="381" ht="15.75" customHeight="1">
      <c r="A381" s="12"/>
      <c r="B381" s="3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</row>
    <row r="382" ht="15.75" customHeight="1">
      <c r="A382" s="12"/>
      <c r="B382" s="3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</row>
    <row r="383" ht="15.75" customHeight="1">
      <c r="A383" s="12"/>
      <c r="B383" s="3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</row>
    <row r="384" ht="15.75" customHeight="1">
      <c r="A384" s="12"/>
      <c r="B384" s="3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</row>
    <row r="385" ht="15.75" customHeight="1">
      <c r="A385" s="12"/>
      <c r="B385" s="3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</row>
    <row r="386" ht="15.75" customHeight="1">
      <c r="A386" s="12"/>
      <c r="B386" s="3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</row>
    <row r="387" ht="15.75" customHeight="1">
      <c r="A387" s="12"/>
      <c r="B387" s="3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</row>
    <row r="388" ht="15.75" customHeight="1">
      <c r="A388" s="12"/>
      <c r="B388" s="3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</row>
    <row r="389" ht="15.75" customHeight="1">
      <c r="A389" s="12"/>
      <c r="B389" s="3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</row>
    <row r="390" ht="15.75" customHeight="1">
      <c r="A390" s="12"/>
      <c r="B390" s="3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</row>
    <row r="391" ht="15.75" customHeight="1">
      <c r="A391" s="12"/>
      <c r="B391" s="3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</row>
    <row r="392" ht="15.75" customHeight="1">
      <c r="A392" s="12"/>
      <c r="B392" s="3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</row>
    <row r="393" ht="15.75" customHeight="1">
      <c r="A393" s="12"/>
      <c r="B393" s="3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</row>
    <row r="394" ht="15.75" customHeight="1">
      <c r="A394" s="12"/>
      <c r="B394" s="3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</row>
    <row r="395" ht="15.75" customHeight="1">
      <c r="A395" s="12"/>
      <c r="B395" s="3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</row>
    <row r="396" ht="15.75" customHeight="1">
      <c r="A396" s="12"/>
      <c r="B396" s="3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</row>
    <row r="397" ht="15.75" customHeight="1">
      <c r="A397" s="12"/>
      <c r="B397" s="3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</row>
    <row r="398" ht="15.75" customHeight="1">
      <c r="A398" s="12"/>
      <c r="B398" s="3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</row>
    <row r="399" ht="15.75" customHeight="1">
      <c r="A399" s="12"/>
      <c r="B399" s="3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</row>
    <row r="400" ht="15.75" customHeight="1">
      <c r="A400" s="12"/>
      <c r="B400" s="3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</row>
    <row r="401" ht="15.75" customHeight="1">
      <c r="A401" s="12"/>
      <c r="B401" s="3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</row>
    <row r="402" ht="15.75" customHeight="1">
      <c r="A402" s="12"/>
      <c r="B402" s="3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</row>
    <row r="403" ht="15.75" customHeight="1">
      <c r="A403" s="12"/>
      <c r="B403" s="3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</row>
    <row r="404" ht="15.75" customHeight="1">
      <c r="A404" s="12"/>
      <c r="B404" s="3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</row>
    <row r="405" ht="15.75" customHeight="1">
      <c r="A405" s="12"/>
      <c r="B405" s="3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</row>
    <row r="406" ht="15.75" customHeight="1">
      <c r="A406" s="12"/>
      <c r="B406" s="3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</row>
    <row r="407" ht="15.75" customHeight="1">
      <c r="A407" s="12"/>
      <c r="B407" s="3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</row>
    <row r="408" ht="15.75" customHeight="1">
      <c r="A408" s="12"/>
      <c r="B408" s="3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</row>
    <row r="409" ht="15.75" customHeight="1">
      <c r="A409" s="12"/>
      <c r="B409" s="3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</row>
    <row r="410" ht="15.75" customHeight="1">
      <c r="A410" s="12"/>
      <c r="B410" s="3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</row>
    <row r="411" ht="15.75" customHeight="1">
      <c r="A411" s="12"/>
      <c r="B411" s="3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</row>
    <row r="412" ht="15.75" customHeight="1">
      <c r="A412" s="12"/>
      <c r="B412" s="3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</row>
    <row r="413" ht="15.75" customHeight="1">
      <c r="A413" s="12"/>
      <c r="B413" s="3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</row>
    <row r="414" ht="15.75" customHeight="1">
      <c r="A414" s="12"/>
      <c r="B414" s="3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</row>
    <row r="415" ht="15.75" customHeight="1">
      <c r="A415" s="12"/>
      <c r="B415" s="3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</row>
    <row r="416" ht="15.75" customHeight="1">
      <c r="A416" s="12"/>
      <c r="B416" s="3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</row>
    <row r="417" ht="15.75" customHeight="1">
      <c r="A417" s="12"/>
      <c r="B417" s="3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</row>
    <row r="418" ht="15.75" customHeight="1">
      <c r="A418" s="12"/>
      <c r="B418" s="3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</row>
    <row r="419" ht="15.75" customHeight="1">
      <c r="A419" s="12"/>
      <c r="B419" s="3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</row>
    <row r="420" ht="15.75" customHeight="1">
      <c r="A420" s="12"/>
      <c r="B420" s="3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</row>
    <row r="421" ht="15.75" customHeight="1">
      <c r="A421" s="12"/>
      <c r="B421" s="3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</row>
    <row r="422" ht="15.75" customHeight="1">
      <c r="A422" s="12"/>
      <c r="B422" s="3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</row>
    <row r="423" ht="15.75" customHeight="1">
      <c r="A423" s="12"/>
      <c r="B423" s="3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</row>
    <row r="424" ht="15.75" customHeight="1">
      <c r="A424" s="12"/>
      <c r="B424" s="3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</row>
    <row r="425" ht="15.75" customHeight="1">
      <c r="A425" s="12"/>
      <c r="B425" s="3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</row>
    <row r="426" ht="15.75" customHeight="1">
      <c r="A426" s="12"/>
      <c r="B426" s="3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</row>
    <row r="427" ht="15.75" customHeight="1">
      <c r="A427" s="12"/>
      <c r="B427" s="3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</row>
    <row r="428" ht="15.75" customHeight="1">
      <c r="A428" s="12"/>
      <c r="B428" s="3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</row>
    <row r="429" ht="15.75" customHeight="1">
      <c r="A429" s="12"/>
      <c r="B429" s="3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</row>
    <row r="430" ht="15.75" customHeight="1">
      <c r="A430" s="12"/>
      <c r="B430" s="3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</row>
    <row r="431" ht="15.75" customHeight="1">
      <c r="A431" s="12"/>
      <c r="B431" s="3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</row>
    <row r="432" ht="15.75" customHeight="1">
      <c r="A432" s="12"/>
      <c r="B432" s="3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</row>
    <row r="433" ht="15.75" customHeight="1">
      <c r="A433" s="12"/>
      <c r="B433" s="3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</row>
    <row r="434" ht="15.75" customHeight="1">
      <c r="A434" s="12"/>
      <c r="B434" s="3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</row>
    <row r="435" ht="15.75" customHeight="1">
      <c r="A435" s="12"/>
      <c r="B435" s="3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</row>
    <row r="436" ht="15.75" customHeight="1">
      <c r="A436" s="12"/>
      <c r="B436" s="3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</row>
    <row r="437" ht="15.75" customHeight="1">
      <c r="A437" s="12"/>
      <c r="B437" s="3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</row>
    <row r="438" ht="15.75" customHeight="1">
      <c r="A438" s="12"/>
      <c r="B438" s="3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</row>
    <row r="439" ht="15.75" customHeight="1">
      <c r="A439" s="12"/>
      <c r="B439" s="3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</row>
    <row r="440" ht="15.75" customHeight="1">
      <c r="A440" s="12"/>
      <c r="B440" s="3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</row>
    <row r="441" ht="15.75" customHeight="1">
      <c r="A441" s="12"/>
      <c r="B441" s="3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</row>
    <row r="442" ht="15.75" customHeight="1">
      <c r="A442" s="12"/>
      <c r="B442" s="3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</row>
    <row r="443" ht="15.75" customHeight="1">
      <c r="A443" s="12"/>
      <c r="B443" s="3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</row>
    <row r="444" ht="15.75" customHeight="1">
      <c r="A444" s="12"/>
      <c r="B444" s="3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</row>
    <row r="445" ht="15.75" customHeight="1">
      <c r="A445" s="12"/>
      <c r="B445" s="3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</row>
    <row r="446" ht="15.75" customHeight="1">
      <c r="A446" s="12"/>
      <c r="B446" s="3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</row>
    <row r="447" ht="15.75" customHeight="1">
      <c r="A447" s="12"/>
      <c r="B447" s="3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</row>
    <row r="448" ht="15.75" customHeight="1">
      <c r="A448" s="12"/>
      <c r="B448" s="3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</row>
    <row r="449" ht="15.75" customHeight="1">
      <c r="A449" s="12"/>
      <c r="B449" s="3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</row>
    <row r="450" ht="15.75" customHeight="1">
      <c r="A450" s="12"/>
      <c r="B450" s="3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</row>
    <row r="451" ht="15.75" customHeight="1">
      <c r="A451" s="12"/>
      <c r="B451" s="3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</row>
    <row r="452" ht="15.75" customHeight="1">
      <c r="A452" s="12"/>
      <c r="B452" s="3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</row>
    <row r="453" ht="15.75" customHeight="1">
      <c r="A453" s="12"/>
      <c r="B453" s="3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</row>
    <row r="454" ht="15.75" customHeight="1">
      <c r="A454" s="12"/>
      <c r="B454" s="3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</row>
    <row r="455" ht="15.75" customHeight="1">
      <c r="A455" s="12"/>
      <c r="B455" s="3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</row>
    <row r="456" ht="15.75" customHeight="1">
      <c r="A456" s="12"/>
      <c r="B456" s="3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</row>
    <row r="457" ht="15.75" customHeight="1">
      <c r="A457" s="12"/>
      <c r="B457" s="3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</row>
    <row r="458" ht="15.75" customHeight="1">
      <c r="A458" s="12"/>
      <c r="B458" s="3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</row>
    <row r="459" ht="15.75" customHeight="1">
      <c r="A459" s="12"/>
      <c r="B459" s="3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</row>
    <row r="460" ht="15.75" customHeight="1">
      <c r="A460" s="12"/>
      <c r="B460" s="3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</row>
    <row r="461" ht="15.75" customHeight="1">
      <c r="A461" s="12"/>
      <c r="B461" s="3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</row>
    <row r="462" ht="15.75" customHeight="1">
      <c r="A462" s="12"/>
      <c r="B462" s="3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</row>
    <row r="463" ht="15.75" customHeight="1">
      <c r="A463" s="12"/>
      <c r="B463" s="3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</row>
    <row r="464" ht="15.75" customHeight="1">
      <c r="A464" s="12"/>
      <c r="B464" s="3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</row>
    <row r="465" ht="15.75" customHeight="1">
      <c r="A465" s="12"/>
      <c r="B465" s="3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</row>
    <row r="466" ht="15.75" customHeight="1">
      <c r="A466" s="12"/>
      <c r="B466" s="3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</row>
    <row r="467" ht="15.75" customHeight="1">
      <c r="A467" s="12"/>
      <c r="B467" s="3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</row>
    <row r="468" ht="15.75" customHeight="1">
      <c r="A468" s="12"/>
      <c r="B468" s="3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</row>
    <row r="469" ht="15.75" customHeight="1">
      <c r="A469" s="12"/>
      <c r="B469" s="3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</row>
    <row r="470" ht="15.75" customHeight="1">
      <c r="A470" s="12"/>
      <c r="B470" s="3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</row>
    <row r="471" ht="15.75" customHeight="1">
      <c r="A471" s="12"/>
      <c r="B471" s="3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</row>
    <row r="472" ht="15.75" customHeight="1">
      <c r="A472" s="12"/>
      <c r="B472" s="3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</row>
    <row r="473" ht="15.75" customHeight="1">
      <c r="A473" s="12"/>
      <c r="B473" s="3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</row>
    <row r="474" ht="15.75" customHeight="1">
      <c r="A474" s="12"/>
      <c r="B474" s="3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</row>
    <row r="475" ht="15.75" customHeight="1">
      <c r="A475" s="12"/>
      <c r="B475" s="3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</row>
    <row r="476" ht="15.75" customHeight="1">
      <c r="A476" s="12"/>
      <c r="B476" s="3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</row>
    <row r="477" ht="15.75" customHeight="1">
      <c r="A477" s="12"/>
      <c r="B477" s="3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</row>
    <row r="478" ht="15.75" customHeight="1">
      <c r="A478" s="12"/>
      <c r="B478" s="3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</row>
    <row r="479" ht="15.75" customHeight="1">
      <c r="A479" s="12"/>
      <c r="B479" s="3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</row>
    <row r="480" ht="15.75" customHeight="1">
      <c r="A480" s="12"/>
      <c r="B480" s="3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</row>
    <row r="481" ht="15.75" customHeight="1">
      <c r="A481" s="12"/>
      <c r="B481" s="3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</row>
    <row r="482" ht="15.75" customHeight="1">
      <c r="A482" s="12"/>
      <c r="B482" s="3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</row>
    <row r="483" ht="15.75" customHeight="1">
      <c r="A483" s="12"/>
      <c r="B483" s="3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</row>
    <row r="484" ht="15.75" customHeight="1">
      <c r="A484" s="12"/>
      <c r="B484" s="3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</row>
    <row r="485" ht="15.75" customHeight="1">
      <c r="A485" s="12"/>
      <c r="B485" s="3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</row>
    <row r="486" ht="15.75" customHeight="1">
      <c r="A486" s="12"/>
      <c r="B486" s="3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</row>
    <row r="487" ht="15.75" customHeight="1">
      <c r="A487" s="12"/>
      <c r="B487" s="3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</row>
    <row r="488" ht="15.75" customHeight="1">
      <c r="A488" s="12"/>
      <c r="B488" s="3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</row>
    <row r="489" ht="15.75" customHeight="1">
      <c r="A489" s="12"/>
      <c r="B489" s="3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</row>
    <row r="490" ht="15.75" customHeight="1">
      <c r="A490" s="12"/>
      <c r="B490" s="3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</row>
    <row r="491" ht="15.75" customHeight="1">
      <c r="A491" s="12"/>
      <c r="B491" s="3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</row>
    <row r="492" ht="15.75" customHeight="1">
      <c r="A492" s="12"/>
      <c r="B492" s="3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</row>
    <row r="493" ht="15.75" customHeight="1">
      <c r="A493" s="12"/>
      <c r="B493" s="3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</row>
    <row r="494" ht="15.75" customHeight="1">
      <c r="A494" s="12"/>
      <c r="B494" s="3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</row>
    <row r="495" ht="15.75" customHeight="1">
      <c r="A495" s="12"/>
      <c r="B495" s="3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</row>
    <row r="496" ht="15.75" customHeight="1">
      <c r="A496" s="12"/>
      <c r="B496" s="3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</row>
    <row r="497" ht="15.75" customHeight="1">
      <c r="A497" s="12"/>
      <c r="B497" s="3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</row>
    <row r="498" ht="15.75" customHeight="1">
      <c r="A498" s="12"/>
      <c r="B498" s="3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</row>
    <row r="499" ht="15.75" customHeight="1">
      <c r="A499" s="12"/>
      <c r="B499" s="3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</row>
    <row r="500" ht="15.75" customHeight="1">
      <c r="A500" s="12"/>
      <c r="B500" s="3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</row>
    <row r="501" ht="15.75" customHeight="1">
      <c r="A501" s="12"/>
      <c r="B501" s="3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</row>
    <row r="502" ht="15.75" customHeight="1">
      <c r="A502" s="12"/>
      <c r="B502" s="3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</row>
    <row r="503" ht="15.75" customHeight="1">
      <c r="A503" s="12"/>
      <c r="B503" s="3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</row>
    <row r="504" ht="15.75" customHeight="1">
      <c r="A504" s="12"/>
      <c r="B504" s="3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</row>
    <row r="505" ht="15.75" customHeight="1">
      <c r="A505" s="12"/>
      <c r="B505" s="3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</row>
    <row r="506" ht="15.75" customHeight="1">
      <c r="A506" s="12"/>
      <c r="B506" s="3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</row>
    <row r="507" ht="15.75" customHeight="1">
      <c r="A507" s="12"/>
      <c r="B507" s="3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</row>
    <row r="508" ht="15.75" customHeight="1">
      <c r="A508" s="12"/>
      <c r="B508" s="3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</row>
    <row r="509" ht="15.75" customHeight="1">
      <c r="A509" s="12"/>
      <c r="B509" s="3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</row>
    <row r="510" ht="15.75" customHeight="1">
      <c r="A510" s="12"/>
      <c r="B510" s="3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</row>
    <row r="511" ht="15.75" customHeight="1">
      <c r="A511" s="12"/>
      <c r="B511" s="3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</row>
    <row r="512" ht="15.75" customHeight="1">
      <c r="A512" s="12"/>
      <c r="B512" s="3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</row>
    <row r="513" ht="15.75" customHeight="1">
      <c r="A513" s="12"/>
      <c r="B513" s="3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</row>
    <row r="514" ht="15.75" customHeight="1">
      <c r="A514" s="12"/>
      <c r="B514" s="3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</row>
    <row r="515" ht="15.75" customHeight="1">
      <c r="A515" s="12"/>
      <c r="B515" s="3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</row>
    <row r="516" ht="15.75" customHeight="1">
      <c r="A516" s="12"/>
      <c r="B516" s="3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</row>
    <row r="517" ht="15.75" customHeight="1">
      <c r="A517" s="12"/>
      <c r="B517" s="3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</row>
    <row r="518" ht="15.75" customHeight="1">
      <c r="A518" s="12"/>
      <c r="B518" s="3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</row>
    <row r="519" ht="15.75" customHeight="1">
      <c r="A519" s="12"/>
      <c r="B519" s="3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</row>
    <row r="520" ht="15.75" customHeight="1">
      <c r="A520" s="12"/>
      <c r="B520" s="3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</row>
    <row r="521" ht="15.75" customHeight="1">
      <c r="A521" s="12"/>
      <c r="B521" s="3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</row>
    <row r="522" ht="15.75" customHeight="1">
      <c r="A522" s="12"/>
      <c r="B522" s="3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</row>
    <row r="523" ht="15.75" customHeight="1">
      <c r="A523" s="12"/>
      <c r="B523" s="3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</row>
    <row r="524" ht="15.75" customHeight="1">
      <c r="A524" s="12"/>
      <c r="B524" s="3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</row>
    <row r="525" ht="15.75" customHeight="1">
      <c r="A525" s="12"/>
      <c r="B525" s="3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</row>
    <row r="526" ht="15.75" customHeight="1">
      <c r="A526" s="12"/>
      <c r="B526" s="3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</row>
    <row r="527" ht="15.75" customHeight="1">
      <c r="A527" s="12"/>
      <c r="B527" s="3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</row>
    <row r="528" ht="15.75" customHeight="1">
      <c r="A528" s="12"/>
      <c r="B528" s="3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</row>
    <row r="529" ht="15.75" customHeight="1">
      <c r="A529" s="12"/>
      <c r="B529" s="3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</row>
    <row r="530" ht="15.75" customHeight="1">
      <c r="A530" s="12"/>
      <c r="B530" s="3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</row>
    <row r="531" ht="15.75" customHeight="1">
      <c r="A531" s="12"/>
      <c r="B531" s="3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</row>
    <row r="532" ht="15.75" customHeight="1">
      <c r="A532" s="12"/>
      <c r="B532" s="3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</row>
    <row r="533" ht="15.75" customHeight="1">
      <c r="A533" s="12"/>
      <c r="B533" s="3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</row>
    <row r="534" ht="15.75" customHeight="1">
      <c r="A534" s="12"/>
      <c r="B534" s="3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</row>
    <row r="535" ht="15.75" customHeight="1">
      <c r="A535" s="12"/>
      <c r="B535" s="3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</row>
    <row r="536" ht="15.75" customHeight="1">
      <c r="A536" s="12"/>
      <c r="B536" s="3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</row>
    <row r="537" ht="15.75" customHeight="1">
      <c r="A537" s="12"/>
      <c r="B537" s="3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</row>
    <row r="538" ht="15.75" customHeight="1">
      <c r="A538" s="12"/>
      <c r="B538" s="3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</row>
    <row r="539" ht="15.75" customHeight="1">
      <c r="A539" s="12"/>
      <c r="B539" s="3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</row>
    <row r="540" ht="15.75" customHeight="1">
      <c r="A540" s="12"/>
      <c r="B540" s="3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</row>
    <row r="541" ht="15.75" customHeight="1">
      <c r="A541" s="12"/>
      <c r="B541" s="3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</row>
    <row r="542" ht="15.75" customHeight="1">
      <c r="A542" s="12"/>
      <c r="B542" s="3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</row>
    <row r="543" ht="15.75" customHeight="1">
      <c r="A543" s="12"/>
      <c r="B543" s="3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</row>
    <row r="544" ht="15.75" customHeight="1">
      <c r="A544" s="12"/>
      <c r="B544" s="3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</row>
    <row r="545" ht="15.75" customHeight="1">
      <c r="A545" s="12"/>
      <c r="B545" s="3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</row>
    <row r="546" ht="15.75" customHeight="1">
      <c r="A546" s="12"/>
      <c r="B546" s="3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</row>
    <row r="547" ht="15.75" customHeight="1">
      <c r="A547" s="12"/>
      <c r="B547" s="3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</row>
    <row r="548" ht="15.75" customHeight="1">
      <c r="A548" s="12"/>
      <c r="B548" s="3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</row>
    <row r="549" ht="15.75" customHeight="1">
      <c r="A549" s="12"/>
      <c r="B549" s="3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</row>
    <row r="550" ht="15.75" customHeight="1">
      <c r="A550" s="12"/>
      <c r="B550" s="3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</row>
    <row r="551" ht="15.75" customHeight="1">
      <c r="A551" s="12"/>
      <c r="B551" s="3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</row>
    <row r="552" ht="15.75" customHeight="1">
      <c r="A552" s="12"/>
      <c r="B552" s="3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</row>
    <row r="553" ht="15.75" customHeight="1">
      <c r="A553" s="12"/>
      <c r="B553" s="3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</row>
    <row r="554" ht="15.75" customHeight="1">
      <c r="A554" s="12"/>
      <c r="B554" s="3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</row>
    <row r="555" ht="15.75" customHeight="1">
      <c r="A555" s="12"/>
      <c r="B555" s="3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</row>
    <row r="556" ht="15.75" customHeight="1">
      <c r="A556" s="12"/>
      <c r="B556" s="3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</row>
    <row r="557" ht="15.75" customHeight="1">
      <c r="A557" s="12"/>
      <c r="B557" s="3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</row>
    <row r="558" ht="15.75" customHeight="1">
      <c r="A558" s="12"/>
      <c r="B558" s="3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</row>
    <row r="559" ht="15.75" customHeight="1">
      <c r="A559" s="12"/>
      <c r="B559" s="3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</row>
    <row r="560" ht="15.75" customHeight="1">
      <c r="A560" s="12"/>
      <c r="B560" s="3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</row>
    <row r="561" ht="15.75" customHeight="1">
      <c r="A561" s="12"/>
      <c r="B561" s="3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</row>
    <row r="562" ht="15.75" customHeight="1">
      <c r="A562" s="12"/>
      <c r="B562" s="3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</row>
    <row r="563" ht="15.75" customHeight="1">
      <c r="A563" s="12"/>
      <c r="B563" s="3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</row>
    <row r="564" ht="15.75" customHeight="1">
      <c r="A564" s="12"/>
      <c r="B564" s="3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</row>
    <row r="565" ht="15.75" customHeight="1">
      <c r="A565" s="12"/>
      <c r="B565" s="3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</row>
    <row r="566" ht="15.75" customHeight="1">
      <c r="A566" s="12"/>
      <c r="B566" s="3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</row>
    <row r="567" ht="15.75" customHeight="1">
      <c r="A567" s="12"/>
      <c r="B567" s="3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</row>
    <row r="568" ht="15.75" customHeight="1">
      <c r="A568" s="12"/>
      <c r="B568" s="3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</row>
    <row r="569" ht="15.75" customHeight="1">
      <c r="A569" s="12"/>
      <c r="B569" s="3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</row>
    <row r="570" ht="15.75" customHeight="1">
      <c r="A570" s="12"/>
      <c r="B570" s="3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</row>
    <row r="571" ht="15.75" customHeight="1">
      <c r="A571" s="12"/>
      <c r="B571" s="3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</row>
    <row r="572" ht="15.75" customHeight="1">
      <c r="A572" s="12"/>
      <c r="B572" s="3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</row>
    <row r="573" ht="15.75" customHeight="1">
      <c r="A573" s="12"/>
      <c r="B573" s="3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</row>
    <row r="574" ht="15.75" customHeight="1">
      <c r="A574" s="12"/>
      <c r="B574" s="3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</row>
    <row r="575" ht="15.75" customHeight="1">
      <c r="A575" s="12"/>
      <c r="B575" s="3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</row>
    <row r="576" ht="15.75" customHeight="1">
      <c r="A576" s="12"/>
      <c r="B576" s="3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</row>
    <row r="577" ht="15.75" customHeight="1">
      <c r="A577" s="12"/>
      <c r="B577" s="3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</row>
    <row r="578" ht="15.75" customHeight="1">
      <c r="A578" s="12"/>
      <c r="B578" s="3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</row>
    <row r="579" ht="15.75" customHeight="1">
      <c r="A579" s="12"/>
      <c r="B579" s="3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</row>
    <row r="580" ht="15.75" customHeight="1">
      <c r="A580" s="12"/>
      <c r="B580" s="3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</row>
    <row r="581" ht="15.75" customHeight="1">
      <c r="A581" s="12"/>
      <c r="B581" s="3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</row>
    <row r="582" ht="15.75" customHeight="1">
      <c r="A582" s="12"/>
      <c r="B582" s="3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</row>
    <row r="583" ht="15.75" customHeight="1">
      <c r="A583" s="12"/>
      <c r="B583" s="3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</row>
    <row r="584" ht="15.75" customHeight="1">
      <c r="A584" s="12"/>
      <c r="B584" s="3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</row>
    <row r="585" ht="15.75" customHeight="1">
      <c r="A585" s="12"/>
      <c r="B585" s="3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</row>
    <row r="586" ht="15.75" customHeight="1">
      <c r="A586" s="12"/>
      <c r="B586" s="3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</row>
    <row r="587" ht="15.75" customHeight="1">
      <c r="A587" s="12"/>
      <c r="B587" s="3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</row>
    <row r="588" ht="15.75" customHeight="1">
      <c r="A588" s="12"/>
      <c r="B588" s="3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</row>
    <row r="589" ht="15.75" customHeight="1">
      <c r="A589" s="12"/>
      <c r="B589" s="3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</row>
    <row r="590" ht="15.75" customHeight="1">
      <c r="A590" s="12"/>
      <c r="B590" s="3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</row>
    <row r="591" ht="15.75" customHeight="1">
      <c r="A591" s="12"/>
      <c r="B591" s="3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</row>
    <row r="592" ht="15.75" customHeight="1">
      <c r="A592" s="12"/>
      <c r="B592" s="3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</row>
    <row r="593" ht="15.75" customHeight="1">
      <c r="A593" s="12"/>
      <c r="B593" s="3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</row>
    <row r="594" ht="15.75" customHeight="1">
      <c r="A594" s="12"/>
      <c r="B594" s="3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</row>
    <row r="595" ht="15.75" customHeight="1">
      <c r="A595" s="12"/>
      <c r="B595" s="3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</row>
    <row r="596" ht="15.75" customHeight="1">
      <c r="A596" s="12"/>
      <c r="B596" s="3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</row>
    <row r="597" ht="15.75" customHeight="1">
      <c r="A597" s="12"/>
      <c r="B597" s="3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</row>
    <row r="598" ht="15.75" customHeight="1">
      <c r="A598" s="12"/>
      <c r="B598" s="3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</row>
    <row r="599" ht="15.75" customHeight="1">
      <c r="A599" s="12"/>
      <c r="B599" s="3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</row>
    <row r="600" ht="15.75" customHeight="1">
      <c r="A600" s="12"/>
      <c r="B600" s="3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</row>
    <row r="601" ht="15.75" customHeight="1">
      <c r="A601" s="12"/>
      <c r="B601" s="3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</row>
    <row r="602" ht="15.75" customHeight="1">
      <c r="A602" s="12"/>
      <c r="B602" s="3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</row>
    <row r="603" ht="15.75" customHeight="1">
      <c r="A603" s="12"/>
      <c r="B603" s="3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</row>
    <row r="604" ht="15.75" customHeight="1">
      <c r="A604" s="12"/>
      <c r="B604" s="3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</row>
    <row r="605" ht="15.75" customHeight="1">
      <c r="A605" s="12"/>
      <c r="B605" s="3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</row>
    <row r="606" ht="15.75" customHeight="1">
      <c r="A606" s="12"/>
      <c r="B606" s="3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</row>
    <row r="607" ht="15.75" customHeight="1">
      <c r="A607" s="12"/>
      <c r="B607" s="3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</row>
    <row r="608" ht="15.75" customHeight="1">
      <c r="A608" s="12"/>
      <c r="B608" s="3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</row>
    <row r="609" ht="15.75" customHeight="1">
      <c r="A609" s="12"/>
      <c r="B609" s="3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</row>
    <row r="610" ht="15.75" customHeight="1">
      <c r="A610" s="12"/>
      <c r="B610" s="3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</row>
    <row r="611" ht="15.75" customHeight="1">
      <c r="A611" s="12"/>
      <c r="B611" s="3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</row>
    <row r="612" ht="15.75" customHeight="1">
      <c r="A612" s="12"/>
      <c r="B612" s="3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</row>
    <row r="613" ht="15.75" customHeight="1">
      <c r="A613" s="12"/>
      <c r="B613" s="3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</row>
    <row r="614" ht="15.75" customHeight="1">
      <c r="A614" s="12"/>
      <c r="B614" s="3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</row>
    <row r="615" ht="15.75" customHeight="1">
      <c r="A615" s="12"/>
      <c r="B615" s="3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</row>
    <row r="616" ht="15.75" customHeight="1">
      <c r="A616" s="12"/>
      <c r="B616" s="3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</row>
    <row r="617" ht="15.75" customHeight="1">
      <c r="A617" s="12"/>
      <c r="B617" s="3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</row>
    <row r="618" ht="15.75" customHeight="1">
      <c r="A618" s="12"/>
      <c r="B618" s="3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</row>
    <row r="619" ht="15.75" customHeight="1">
      <c r="A619" s="12"/>
      <c r="B619" s="3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</row>
    <row r="620" ht="15.75" customHeight="1">
      <c r="A620" s="12"/>
      <c r="B620" s="3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</row>
    <row r="621" ht="15.75" customHeight="1">
      <c r="A621" s="12"/>
      <c r="B621" s="3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</row>
    <row r="622" ht="15.75" customHeight="1">
      <c r="A622" s="12"/>
      <c r="B622" s="3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</row>
    <row r="623" ht="15.75" customHeight="1">
      <c r="A623" s="12"/>
      <c r="B623" s="3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</row>
    <row r="624" ht="15.75" customHeight="1">
      <c r="A624" s="12"/>
      <c r="B624" s="3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</row>
    <row r="625" ht="15.75" customHeight="1">
      <c r="A625" s="12"/>
      <c r="B625" s="3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</row>
    <row r="626" ht="15.75" customHeight="1">
      <c r="A626" s="12"/>
      <c r="B626" s="3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</row>
    <row r="627" ht="15.75" customHeight="1">
      <c r="A627" s="12"/>
      <c r="B627" s="3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</row>
    <row r="628" ht="15.75" customHeight="1">
      <c r="A628" s="12"/>
      <c r="B628" s="3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</row>
    <row r="629" ht="15.75" customHeight="1">
      <c r="A629" s="12"/>
      <c r="B629" s="3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</row>
    <row r="630" ht="15.75" customHeight="1">
      <c r="A630" s="12"/>
      <c r="B630" s="3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</row>
    <row r="631" ht="15.75" customHeight="1">
      <c r="A631" s="12"/>
      <c r="B631" s="3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</row>
    <row r="632" ht="15.75" customHeight="1">
      <c r="A632" s="12"/>
      <c r="B632" s="3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</row>
    <row r="633" ht="15.75" customHeight="1">
      <c r="A633" s="12"/>
      <c r="B633" s="3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</row>
    <row r="634" ht="15.75" customHeight="1">
      <c r="A634" s="12"/>
      <c r="B634" s="3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</row>
    <row r="635" ht="15.75" customHeight="1">
      <c r="A635" s="12"/>
      <c r="B635" s="3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</row>
    <row r="636" ht="15.75" customHeight="1">
      <c r="A636" s="12"/>
      <c r="B636" s="3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</row>
    <row r="637" ht="15.75" customHeight="1">
      <c r="A637" s="12"/>
      <c r="B637" s="3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</row>
    <row r="638" ht="15.75" customHeight="1">
      <c r="A638" s="12"/>
      <c r="B638" s="3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</row>
    <row r="639" ht="15.75" customHeight="1">
      <c r="A639" s="12"/>
      <c r="B639" s="3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</row>
    <row r="640" ht="15.75" customHeight="1">
      <c r="A640" s="12"/>
      <c r="B640" s="3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</row>
    <row r="641" ht="15.75" customHeight="1">
      <c r="A641" s="12"/>
      <c r="B641" s="3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</row>
    <row r="642" ht="15.75" customHeight="1">
      <c r="A642" s="12"/>
      <c r="B642" s="3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</row>
    <row r="643" ht="15.75" customHeight="1">
      <c r="A643" s="12"/>
      <c r="B643" s="3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</row>
    <row r="644" ht="15.75" customHeight="1">
      <c r="A644" s="12"/>
      <c r="B644" s="3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</row>
    <row r="645" ht="15.75" customHeight="1">
      <c r="A645" s="12"/>
      <c r="B645" s="3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</row>
    <row r="646" ht="15.75" customHeight="1">
      <c r="A646" s="12"/>
      <c r="B646" s="3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</row>
    <row r="647" ht="15.75" customHeight="1">
      <c r="A647" s="12"/>
      <c r="B647" s="3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</row>
    <row r="648" ht="15.75" customHeight="1">
      <c r="A648" s="12"/>
      <c r="B648" s="3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</row>
    <row r="649" ht="15.75" customHeight="1">
      <c r="A649" s="12"/>
      <c r="B649" s="3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</row>
    <row r="650" ht="15.75" customHeight="1">
      <c r="A650" s="12"/>
      <c r="B650" s="3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</row>
    <row r="651" ht="15.75" customHeight="1">
      <c r="A651" s="12"/>
      <c r="B651" s="3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</row>
    <row r="652" ht="15.75" customHeight="1">
      <c r="A652" s="12"/>
      <c r="B652" s="3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</row>
    <row r="653" ht="15.75" customHeight="1">
      <c r="A653" s="12"/>
      <c r="B653" s="3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</row>
    <row r="654" ht="15.75" customHeight="1">
      <c r="A654" s="12"/>
      <c r="B654" s="3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</row>
    <row r="655" ht="15.75" customHeight="1">
      <c r="A655" s="12"/>
      <c r="B655" s="3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</row>
    <row r="656" ht="15.75" customHeight="1">
      <c r="A656" s="12"/>
      <c r="B656" s="3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</row>
    <row r="657" ht="15.75" customHeight="1">
      <c r="A657" s="12"/>
      <c r="B657" s="3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</row>
    <row r="658" ht="15.75" customHeight="1">
      <c r="A658" s="12"/>
      <c r="B658" s="3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</row>
    <row r="659" ht="15.75" customHeight="1">
      <c r="A659" s="12"/>
      <c r="B659" s="3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</row>
    <row r="660" ht="15.75" customHeight="1">
      <c r="A660" s="12"/>
      <c r="B660" s="3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</row>
    <row r="661" ht="15.75" customHeight="1">
      <c r="A661" s="12"/>
      <c r="B661" s="3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</row>
    <row r="662" ht="15.75" customHeight="1">
      <c r="A662" s="12"/>
      <c r="B662" s="3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</row>
    <row r="663" ht="15.75" customHeight="1">
      <c r="A663" s="12"/>
      <c r="B663" s="3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</row>
    <row r="664" ht="15.75" customHeight="1">
      <c r="A664" s="12"/>
      <c r="B664" s="3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</row>
    <row r="665" ht="15.75" customHeight="1">
      <c r="A665" s="12"/>
      <c r="B665" s="3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</row>
    <row r="666" ht="15.75" customHeight="1">
      <c r="A666" s="12"/>
      <c r="B666" s="3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</row>
    <row r="667" ht="15.75" customHeight="1">
      <c r="A667" s="12"/>
      <c r="B667" s="3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</row>
    <row r="668" ht="15.75" customHeight="1">
      <c r="A668" s="12"/>
      <c r="B668" s="3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</row>
    <row r="669" ht="15.75" customHeight="1">
      <c r="A669" s="12"/>
      <c r="B669" s="3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</row>
    <row r="670" ht="15.75" customHeight="1">
      <c r="A670" s="12"/>
      <c r="B670" s="3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</row>
    <row r="671" ht="15.75" customHeight="1">
      <c r="A671" s="12"/>
      <c r="B671" s="3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</row>
    <row r="672" ht="15.75" customHeight="1">
      <c r="A672" s="12"/>
      <c r="B672" s="3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</row>
    <row r="673" ht="15.75" customHeight="1">
      <c r="A673" s="12"/>
      <c r="B673" s="3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</row>
    <row r="674" ht="15.75" customHeight="1">
      <c r="A674" s="12"/>
      <c r="B674" s="3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</row>
    <row r="675" ht="15.75" customHeight="1">
      <c r="A675" s="12"/>
      <c r="B675" s="3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</row>
    <row r="676" ht="15.75" customHeight="1">
      <c r="A676" s="12"/>
      <c r="B676" s="3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</row>
    <row r="677" ht="15.75" customHeight="1">
      <c r="A677" s="12"/>
      <c r="B677" s="3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</row>
    <row r="678" ht="15.75" customHeight="1">
      <c r="A678" s="12"/>
      <c r="B678" s="3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</row>
    <row r="679" ht="15.75" customHeight="1">
      <c r="A679" s="12"/>
      <c r="B679" s="3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</row>
    <row r="680" ht="15.75" customHeight="1">
      <c r="A680" s="12"/>
      <c r="B680" s="3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</row>
    <row r="681" ht="15.75" customHeight="1">
      <c r="A681" s="12"/>
      <c r="B681" s="3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</row>
    <row r="682" ht="15.75" customHeight="1">
      <c r="A682" s="12"/>
      <c r="B682" s="3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</row>
    <row r="683" ht="15.75" customHeight="1">
      <c r="A683" s="12"/>
      <c r="B683" s="3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</row>
    <row r="684" ht="15.75" customHeight="1">
      <c r="A684" s="12"/>
      <c r="B684" s="3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</row>
    <row r="685" ht="15.75" customHeight="1">
      <c r="A685" s="12"/>
      <c r="B685" s="3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</row>
    <row r="686" ht="15.75" customHeight="1">
      <c r="A686" s="12"/>
      <c r="B686" s="3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</row>
    <row r="687" ht="15.75" customHeight="1">
      <c r="A687" s="12"/>
      <c r="B687" s="3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</row>
    <row r="688" ht="15.75" customHeight="1">
      <c r="A688" s="12"/>
      <c r="B688" s="3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</row>
    <row r="689" ht="15.75" customHeight="1">
      <c r="A689" s="12"/>
      <c r="B689" s="3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</row>
    <row r="690" ht="15.75" customHeight="1">
      <c r="A690" s="12"/>
      <c r="B690" s="3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</row>
    <row r="691" ht="15.75" customHeight="1">
      <c r="A691" s="12"/>
      <c r="B691" s="3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</row>
    <row r="692" ht="15.75" customHeight="1">
      <c r="A692" s="12"/>
      <c r="B692" s="3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</row>
    <row r="693" ht="15.75" customHeight="1">
      <c r="A693" s="12"/>
      <c r="B693" s="3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</row>
    <row r="694" ht="15.75" customHeight="1">
      <c r="A694" s="12"/>
      <c r="B694" s="3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</row>
    <row r="695" ht="15.75" customHeight="1">
      <c r="A695" s="12"/>
      <c r="B695" s="3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</row>
    <row r="696" ht="15.75" customHeight="1">
      <c r="A696" s="12"/>
      <c r="B696" s="3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</row>
    <row r="697" ht="15.75" customHeight="1">
      <c r="A697" s="12"/>
      <c r="B697" s="3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</row>
    <row r="698" ht="15.75" customHeight="1">
      <c r="A698" s="12"/>
      <c r="B698" s="3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</row>
    <row r="699" ht="15.75" customHeight="1">
      <c r="A699" s="12"/>
      <c r="B699" s="3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</row>
    <row r="700" ht="15.75" customHeight="1">
      <c r="A700" s="12"/>
      <c r="B700" s="3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</row>
    <row r="701" ht="15.75" customHeight="1">
      <c r="A701" s="12"/>
      <c r="B701" s="3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</row>
    <row r="702" ht="15.75" customHeight="1">
      <c r="A702" s="12"/>
      <c r="B702" s="3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</row>
    <row r="703" ht="15.75" customHeight="1">
      <c r="A703" s="12"/>
      <c r="B703" s="3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</row>
    <row r="704" ht="15.75" customHeight="1">
      <c r="A704" s="12"/>
      <c r="B704" s="3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</row>
    <row r="705" ht="15.75" customHeight="1">
      <c r="A705" s="12"/>
      <c r="B705" s="3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</row>
    <row r="706" ht="15.75" customHeight="1">
      <c r="A706" s="12"/>
      <c r="B706" s="3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</row>
    <row r="707" ht="15.75" customHeight="1">
      <c r="A707" s="12"/>
      <c r="B707" s="3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</row>
    <row r="708" ht="15.75" customHeight="1">
      <c r="A708" s="12"/>
      <c r="B708" s="3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</row>
    <row r="709" ht="15.75" customHeight="1">
      <c r="A709" s="12"/>
      <c r="B709" s="3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</row>
    <row r="710" ht="15.75" customHeight="1">
      <c r="A710" s="12"/>
      <c r="B710" s="3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</row>
    <row r="711" ht="15.75" customHeight="1">
      <c r="A711" s="12"/>
      <c r="B711" s="3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</row>
    <row r="712" ht="15.75" customHeight="1">
      <c r="A712" s="12"/>
      <c r="B712" s="3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</row>
    <row r="713" ht="15.75" customHeight="1">
      <c r="A713" s="12"/>
      <c r="B713" s="3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</row>
    <row r="714" ht="15.75" customHeight="1">
      <c r="A714" s="12"/>
      <c r="B714" s="3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</row>
    <row r="715" ht="15.75" customHeight="1">
      <c r="A715" s="12"/>
      <c r="B715" s="3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</row>
    <row r="716" ht="15.75" customHeight="1">
      <c r="A716" s="12"/>
      <c r="B716" s="3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</row>
    <row r="717" ht="15.75" customHeight="1">
      <c r="A717" s="12"/>
      <c r="B717" s="3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</row>
    <row r="718" ht="15.75" customHeight="1">
      <c r="A718" s="12"/>
      <c r="B718" s="3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</row>
    <row r="719" ht="15.75" customHeight="1">
      <c r="A719" s="12"/>
      <c r="B719" s="3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</row>
    <row r="720" ht="15.75" customHeight="1">
      <c r="A720" s="12"/>
      <c r="B720" s="3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</row>
    <row r="721" ht="15.75" customHeight="1">
      <c r="A721" s="12"/>
      <c r="B721" s="3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</row>
    <row r="722" ht="15.75" customHeight="1">
      <c r="A722" s="12"/>
      <c r="B722" s="3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</row>
    <row r="723" ht="15.75" customHeight="1">
      <c r="A723" s="12"/>
      <c r="B723" s="3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</row>
    <row r="724" ht="15.75" customHeight="1">
      <c r="A724" s="12"/>
      <c r="B724" s="3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</row>
    <row r="725" ht="15.75" customHeight="1">
      <c r="A725" s="12"/>
      <c r="B725" s="3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</row>
    <row r="726" ht="15.75" customHeight="1">
      <c r="A726" s="12"/>
      <c r="B726" s="3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</row>
    <row r="727" ht="15.75" customHeight="1">
      <c r="A727" s="12"/>
      <c r="B727" s="3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</row>
    <row r="728" ht="15.75" customHeight="1">
      <c r="A728" s="12"/>
      <c r="B728" s="3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</row>
    <row r="729" ht="15.75" customHeight="1">
      <c r="A729" s="12"/>
      <c r="B729" s="3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</row>
    <row r="730" ht="15.75" customHeight="1">
      <c r="A730" s="12"/>
      <c r="B730" s="3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</row>
    <row r="731" ht="15.75" customHeight="1">
      <c r="A731" s="12"/>
      <c r="B731" s="3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</row>
    <row r="732" ht="15.75" customHeight="1">
      <c r="A732" s="12"/>
      <c r="B732" s="3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</row>
    <row r="733" ht="15.75" customHeight="1">
      <c r="A733" s="12"/>
      <c r="B733" s="3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</row>
    <row r="734" ht="15.75" customHeight="1">
      <c r="A734" s="12"/>
      <c r="B734" s="3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</row>
    <row r="735" ht="15.75" customHeight="1">
      <c r="A735" s="12"/>
      <c r="B735" s="3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</row>
    <row r="736" ht="15.75" customHeight="1">
      <c r="A736" s="12"/>
      <c r="B736" s="3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</row>
    <row r="737" ht="15.75" customHeight="1">
      <c r="A737" s="12"/>
      <c r="B737" s="3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</row>
    <row r="738" ht="15.75" customHeight="1">
      <c r="A738" s="12"/>
      <c r="B738" s="3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</row>
    <row r="739" ht="15.75" customHeight="1">
      <c r="A739" s="12"/>
      <c r="B739" s="3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</row>
    <row r="740" ht="15.75" customHeight="1">
      <c r="A740" s="12"/>
      <c r="B740" s="3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</row>
    <row r="741" ht="15.75" customHeight="1">
      <c r="A741" s="12"/>
      <c r="B741" s="3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</row>
    <row r="742" ht="15.75" customHeight="1">
      <c r="A742" s="12"/>
      <c r="B742" s="3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</row>
    <row r="743" ht="15.75" customHeight="1">
      <c r="A743" s="12"/>
      <c r="B743" s="3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</row>
    <row r="744" ht="15.75" customHeight="1">
      <c r="A744" s="12"/>
      <c r="B744" s="3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</row>
    <row r="745" ht="15.75" customHeight="1">
      <c r="A745" s="12"/>
      <c r="B745" s="3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</row>
    <row r="746" ht="15.75" customHeight="1">
      <c r="A746" s="12"/>
      <c r="B746" s="3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</row>
    <row r="747" ht="15.75" customHeight="1">
      <c r="A747" s="12"/>
      <c r="B747" s="3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</row>
    <row r="748" ht="15.75" customHeight="1">
      <c r="A748" s="12"/>
      <c r="B748" s="3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</row>
    <row r="749" ht="15.75" customHeight="1">
      <c r="A749" s="12"/>
      <c r="B749" s="3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</row>
    <row r="750" ht="15.75" customHeight="1">
      <c r="A750" s="12"/>
      <c r="B750" s="3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</row>
    <row r="751" ht="15.75" customHeight="1">
      <c r="A751" s="12"/>
      <c r="B751" s="3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</row>
    <row r="752" ht="15.75" customHeight="1">
      <c r="A752" s="12"/>
      <c r="B752" s="3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</row>
    <row r="753" ht="15.75" customHeight="1">
      <c r="A753" s="12"/>
      <c r="B753" s="3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</row>
    <row r="754" ht="15.75" customHeight="1">
      <c r="A754" s="12"/>
      <c r="B754" s="3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</row>
    <row r="755" ht="15.75" customHeight="1">
      <c r="A755" s="12"/>
      <c r="B755" s="3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</row>
    <row r="756" ht="15.75" customHeight="1">
      <c r="A756" s="12"/>
      <c r="B756" s="3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</row>
    <row r="757" ht="15.75" customHeight="1">
      <c r="A757" s="12"/>
      <c r="B757" s="3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</row>
    <row r="758" ht="15.75" customHeight="1">
      <c r="A758" s="12"/>
      <c r="B758" s="3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</row>
    <row r="759" ht="15.75" customHeight="1">
      <c r="A759" s="12"/>
      <c r="B759" s="3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</row>
    <row r="760" ht="15.75" customHeight="1">
      <c r="A760" s="12"/>
      <c r="B760" s="3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</row>
    <row r="761" ht="15.75" customHeight="1">
      <c r="A761" s="12"/>
      <c r="B761" s="3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</row>
    <row r="762" ht="15.75" customHeight="1">
      <c r="A762" s="12"/>
      <c r="B762" s="3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</row>
    <row r="763" ht="15.75" customHeight="1">
      <c r="A763" s="12"/>
      <c r="B763" s="3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</row>
    <row r="764" ht="15.75" customHeight="1">
      <c r="A764" s="12"/>
      <c r="B764" s="3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</row>
    <row r="765" ht="15.75" customHeight="1">
      <c r="A765" s="12"/>
      <c r="B765" s="3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</row>
    <row r="766" ht="15.75" customHeight="1">
      <c r="A766" s="12"/>
      <c r="B766" s="3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</row>
    <row r="767" ht="15.75" customHeight="1">
      <c r="A767" s="12"/>
      <c r="B767" s="3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</row>
    <row r="768" ht="15.75" customHeight="1">
      <c r="A768" s="12"/>
      <c r="B768" s="3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</row>
    <row r="769" ht="15.75" customHeight="1">
      <c r="A769" s="12"/>
      <c r="B769" s="3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</row>
    <row r="770" ht="15.75" customHeight="1">
      <c r="A770" s="12"/>
      <c r="B770" s="3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</row>
    <row r="771" ht="15.75" customHeight="1">
      <c r="A771" s="12"/>
      <c r="B771" s="3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</row>
    <row r="772" ht="15.75" customHeight="1">
      <c r="A772" s="12"/>
      <c r="B772" s="3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</row>
    <row r="773" ht="15.75" customHeight="1">
      <c r="A773" s="12"/>
      <c r="B773" s="3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</row>
    <row r="774" ht="15.75" customHeight="1">
      <c r="A774" s="12"/>
      <c r="B774" s="3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</row>
    <row r="775" ht="15.75" customHeight="1">
      <c r="A775" s="12"/>
      <c r="B775" s="3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</row>
    <row r="776" ht="15.75" customHeight="1">
      <c r="A776" s="12"/>
      <c r="B776" s="3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</row>
    <row r="777" ht="15.75" customHeight="1">
      <c r="A777" s="12"/>
      <c r="B777" s="3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</row>
    <row r="778" ht="15.75" customHeight="1">
      <c r="A778" s="12"/>
      <c r="B778" s="3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</row>
    <row r="779" ht="15.75" customHeight="1">
      <c r="A779" s="12"/>
      <c r="B779" s="3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</row>
    <row r="780" ht="15.75" customHeight="1">
      <c r="A780" s="12"/>
      <c r="B780" s="3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</row>
    <row r="781" ht="15.75" customHeight="1">
      <c r="A781" s="12"/>
      <c r="B781" s="3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</row>
    <row r="782" ht="15.75" customHeight="1">
      <c r="A782" s="12"/>
      <c r="B782" s="3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</row>
    <row r="783" ht="15.75" customHeight="1">
      <c r="A783" s="12"/>
      <c r="B783" s="3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</row>
    <row r="784" ht="15.75" customHeight="1">
      <c r="A784" s="12"/>
      <c r="B784" s="3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</row>
    <row r="785" ht="15.75" customHeight="1">
      <c r="A785" s="12"/>
      <c r="B785" s="3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</row>
    <row r="786" ht="15.75" customHeight="1">
      <c r="A786" s="12"/>
      <c r="B786" s="3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</row>
    <row r="787" ht="15.75" customHeight="1">
      <c r="A787" s="12"/>
      <c r="B787" s="3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</row>
    <row r="788" ht="15.75" customHeight="1">
      <c r="A788" s="12"/>
      <c r="B788" s="3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</row>
    <row r="789" ht="15.75" customHeight="1">
      <c r="A789" s="12"/>
      <c r="B789" s="3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</row>
    <row r="790" ht="15.75" customHeight="1">
      <c r="A790" s="12"/>
      <c r="B790" s="3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</row>
    <row r="791" ht="15.75" customHeight="1">
      <c r="A791" s="12"/>
      <c r="B791" s="3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</row>
    <row r="792" ht="15.75" customHeight="1">
      <c r="A792" s="12"/>
      <c r="B792" s="3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</row>
    <row r="793" ht="15.75" customHeight="1">
      <c r="A793" s="12"/>
      <c r="B793" s="3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</row>
    <row r="794" ht="15.75" customHeight="1">
      <c r="A794" s="12"/>
      <c r="B794" s="3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</row>
    <row r="795" ht="15.75" customHeight="1">
      <c r="A795" s="12"/>
      <c r="B795" s="3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</row>
    <row r="796" ht="15.75" customHeight="1">
      <c r="A796" s="12"/>
      <c r="B796" s="3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</row>
    <row r="797" ht="15.75" customHeight="1">
      <c r="A797" s="12"/>
      <c r="B797" s="3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</row>
    <row r="798" ht="15.75" customHeight="1">
      <c r="A798" s="12"/>
      <c r="B798" s="3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</row>
    <row r="799" ht="15.75" customHeight="1">
      <c r="A799" s="12"/>
      <c r="B799" s="3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</row>
    <row r="800" ht="15.75" customHeight="1">
      <c r="A800" s="12"/>
      <c r="B800" s="3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</row>
    <row r="801" ht="15.75" customHeight="1">
      <c r="A801" s="12"/>
      <c r="B801" s="3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</row>
    <row r="802" ht="15.75" customHeight="1">
      <c r="A802" s="12"/>
      <c r="B802" s="3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</row>
    <row r="803" ht="15.75" customHeight="1">
      <c r="A803" s="12"/>
      <c r="B803" s="3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</row>
    <row r="804" ht="15.75" customHeight="1">
      <c r="A804" s="12"/>
      <c r="B804" s="3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</row>
    <row r="805" ht="15.75" customHeight="1">
      <c r="A805" s="12"/>
      <c r="B805" s="3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</row>
    <row r="806" ht="15.75" customHeight="1">
      <c r="A806" s="12"/>
      <c r="B806" s="3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</row>
    <row r="807" ht="15.75" customHeight="1">
      <c r="A807" s="12"/>
      <c r="B807" s="3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</row>
    <row r="808" ht="15.75" customHeight="1">
      <c r="A808" s="12"/>
      <c r="B808" s="3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</row>
    <row r="809" ht="15.75" customHeight="1">
      <c r="A809" s="12"/>
      <c r="B809" s="3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</row>
    <row r="810" ht="15.75" customHeight="1">
      <c r="A810" s="12"/>
      <c r="B810" s="3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</row>
    <row r="811" ht="15.75" customHeight="1">
      <c r="A811" s="12"/>
      <c r="B811" s="3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</row>
    <row r="812" ht="15.75" customHeight="1">
      <c r="A812" s="12"/>
      <c r="B812" s="3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</row>
    <row r="813" ht="15.75" customHeight="1">
      <c r="A813" s="12"/>
      <c r="B813" s="3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</row>
    <row r="814" ht="15.75" customHeight="1">
      <c r="A814" s="12"/>
      <c r="B814" s="3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</row>
    <row r="815" ht="15.75" customHeight="1">
      <c r="A815" s="12"/>
      <c r="B815" s="3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</row>
    <row r="816" ht="15.75" customHeight="1">
      <c r="A816" s="12"/>
      <c r="B816" s="3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</row>
    <row r="817" ht="15.75" customHeight="1">
      <c r="A817" s="12"/>
      <c r="B817" s="3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</row>
    <row r="818" ht="15.75" customHeight="1">
      <c r="A818" s="12"/>
      <c r="B818" s="3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</row>
    <row r="819" ht="15.75" customHeight="1">
      <c r="A819" s="12"/>
      <c r="B819" s="3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</row>
    <row r="820" ht="15.75" customHeight="1">
      <c r="A820" s="12"/>
      <c r="B820" s="3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</row>
    <row r="821" ht="15.75" customHeight="1">
      <c r="A821" s="12"/>
      <c r="B821" s="3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</row>
    <row r="822" ht="15.75" customHeight="1">
      <c r="A822" s="12"/>
      <c r="B822" s="3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</row>
    <row r="823" ht="15.75" customHeight="1">
      <c r="A823" s="12"/>
      <c r="B823" s="3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</row>
    <row r="824" ht="15.75" customHeight="1">
      <c r="A824" s="12"/>
      <c r="B824" s="3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</row>
    <row r="825" ht="15.75" customHeight="1">
      <c r="A825" s="12"/>
      <c r="B825" s="3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</row>
    <row r="826" ht="15.75" customHeight="1">
      <c r="A826" s="12"/>
      <c r="B826" s="3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</row>
    <row r="827" ht="15.75" customHeight="1">
      <c r="A827" s="12"/>
      <c r="B827" s="3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</row>
    <row r="828" ht="15.75" customHeight="1">
      <c r="A828" s="12"/>
      <c r="B828" s="3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</row>
    <row r="829" ht="15.75" customHeight="1">
      <c r="A829" s="12"/>
      <c r="B829" s="3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</row>
    <row r="830" ht="15.75" customHeight="1">
      <c r="A830" s="12"/>
      <c r="B830" s="3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</row>
    <row r="831" ht="15.75" customHeight="1">
      <c r="A831" s="12"/>
      <c r="B831" s="3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</row>
    <row r="832" ht="15.75" customHeight="1">
      <c r="A832" s="12"/>
      <c r="B832" s="3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</row>
    <row r="833" ht="15.75" customHeight="1">
      <c r="A833" s="12"/>
      <c r="B833" s="3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</row>
    <row r="834" ht="15.75" customHeight="1">
      <c r="A834" s="12"/>
      <c r="B834" s="3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</row>
    <row r="835" ht="15.75" customHeight="1">
      <c r="A835" s="12"/>
      <c r="B835" s="3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</row>
    <row r="836" ht="15.75" customHeight="1">
      <c r="A836" s="12"/>
      <c r="B836" s="3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</row>
    <row r="837" ht="15.75" customHeight="1">
      <c r="A837" s="12"/>
      <c r="B837" s="3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</row>
    <row r="838" ht="15.75" customHeight="1">
      <c r="A838" s="12"/>
      <c r="B838" s="3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</row>
    <row r="839" ht="15.75" customHeight="1">
      <c r="A839" s="12"/>
      <c r="B839" s="3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</row>
    <row r="840" ht="15.75" customHeight="1">
      <c r="A840" s="12"/>
      <c r="B840" s="3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</row>
    <row r="841" ht="15.75" customHeight="1">
      <c r="A841" s="12"/>
      <c r="B841" s="3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</row>
    <row r="842" ht="15.75" customHeight="1">
      <c r="A842" s="12"/>
      <c r="B842" s="3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</row>
    <row r="843" ht="15.75" customHeight="1">
      <c r="A843" s="12"/>
      <c r="B843" s="3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</row>
    <row r="844" ht="15.75" customHeight="1">
      <c r="A844" s="12"/>
      <c r="B844" s="3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</row>
    <row r="845" ht="15.75" customHeight="1">
      <c r="A845" s="12"/>
      <c r="B845" s="3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</row>
    <row r="846" ht="15.75" customHeight="1">
      <c r="A846" s="12"/>
      <c r="B846" s="3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</row>
    <row r="847" ht="15.75" customHeight="1">
      <c r="A847" s="12"/>
      <c r="B847" s="3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</row>
    <row r="848" ht="15.75" customHeight="1">
      <c r="A848" s="12"/>
      <c r="B848" s="3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</row>
    <row r="849" ht="15.75" customHeight="1">
      <c r="A849" s="12"/>
      <c r="B849" s="3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</row>
    <row r="850" ht="15.75" customHeight="1">
      <c r="A850" s="12"/>
      <c r="B850" s="3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</row>
    <row r="851" ht="15.75" customHeight="1">
      <c r="A851" s="12"/>
      <c r="B851" s="3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</row>
    <row r="852" ht="15.75" customHeight="1">
      <c r="A852" s="12"/>
      <c r="B852" s="3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</row>
    <row r="853" ht="15.75" customHeight="1">
      <c r="A853" s="12"/>
      <c r="B853" s="3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</row>
    <row r="854" ht="15.75" customHeight="1">
      <c r="A854" s="12"/>
      <c r="B854" s="3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</row>
    <row r="855" ht="15.75" customHeight="1">
      <c r="A855" s="12"/>
      <c r="B855" s="3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</row>
    <row r="856" ht="15.75" customHeight="1">
      <c r="A856" s="12"/>
      <c r="B856" s="3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</row>
    <row r="857" ht="15.75" customHeight="1">
      <c r="A857" s="12"/>
      <c r="B857" s="3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</row>
    <row r="858" ht="15.75" customHeight="1">
      <c r="A858" s="12"/>
      <c r="B858" s="3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</row>
    <row r="859" ht="15.75" customHeight="1">
      <c r="A859" s="12"/>
      <c r="B859" s="3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</row>
    <row r="860" ht="15.75" customHeight="1">
      <c r="A860" s="12"/>
      <c r="B860" s="3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</row>
    <row r="861" ht="15.75" customHeight="1">
      <c r="A861" s="12"/>
      <c r="B861" s="3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</row>
    <row r="862" ht="15.75" customHeight="1">
      <c r="A862" s="12"/>
      <c r="B862" s="3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</row>
    <row r="863" ht="15.75" customHeight="1">
      <c r="A863" s="12"/>
      <c r="B863" s="3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</row>
    <row r="864" ht="15.75" customHeight="1">
      <c r="A864" s="12"/>
      <c r="B864" s="3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</row>
    <row r="865" ht="15.75" customHeight="1">
      <c r="A865" s="12"/>
      <c r="B865" s="3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</row>
    <row r="866" ht="15.75" customHeight="1">
      <c r="A866" s="12"/>
      <c r="B866" s="3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</row>
    <row r="867" ht="15.75" customHeight="1">
      <c r="A867" s="12"/>
      <c r="B867" s="3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</row>
    <row r="868" ht="15.75" customHeight="1">
      <c r="A868" s="12"/>
      <c r="B868" s="3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</row>
    <row r="869" ht="15.75" customHeight="1">
      <c r="A869" s="12"/>
      <c r="B869" s="3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</row>
    <row r="870" ht="15.75" customHeight="1">
      <c r="A870" s="12"/>
      <c r="B870" s="3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</row>
    <row r="871" ht="15.75" customHeight="1">
      <c r="A871" s="12"/>
      <c r="B871" s="3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</row>
    <row r="872" ht="15.75" customHeight="1">
      <c r="A872" s="12"/>
      <c r="B872" s="3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</row>
    <row r="873" ht="15.75" customHeight="1">
      <c r="A873" s="12"/>
      <c r="B873" s="3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</row>
    <row r="874" ht="15.75" customHeight="1">
      <c r="A874" s="12"/>
      <c r="B874" s="3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</row>
    <row r="875" ht="15.75" customHeight="1">
      <c r="A875" s="12"/>
      <c r="B875" s="3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</row>
    <row r="876" ht="15.75" customHeight="1">
      <c r="A876" s="12"/>
      <c r="B876" s="3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</row>
    <row r="877" ht="15.75" customHeight="1">
      <c r="A877" s="12"/>
      <c r="B877" s="3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</row>
    <row r="878" ht="15.75" customHeight="1">
      <c r="A878" s="12"/>
      <c r="B878" s="3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</row>
    <row r="879" ht="15.75" customHeight="1">
      <c r="A879" s="12"/>
      <c r="B879" s="3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</row>
    <row r="880" ht="15.75" customHeight="1">
      <c r="A880" s="12"/>
      <c r="B880" s="3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</row>
    <row r="881" ht="15.75" customHeight="1">
      <c r="A881" s="12"/>
      <c r="B881" s="3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</row>
    <row r="882" ht="15.75" customHeight="1">
      <c r="A882" s="12"/>
      <c r="B882" s="3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</row>
    <row r="883" ht="15.75" customHeight="1">
      <c r="A883" s="12"/>
      <c r="B883" s="3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</row>
    <row r="884" ht="15.75" customHeight="1">
      <c r="A884" s="12"/>
      <c r="B884" s="3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</row>
    <row r="885" ht="15.75" customHeight="1">
      <c r="A885" s="12"/>
      <c r="B885" s="3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</row>
    <row r="886" ht="15.75" customHeight="1">
      <c r="A886" s="12"/>
      <c r="B886" s="3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</row>
    <row r="887" ht="15.75" customHeight="1">
      <c r="A887" s="12"/>
      <c r="B887" s="3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</row>
    <row r="888" ht="15.75" customHeight="1">
      <c r="A888" s="12"/>
      <c r="B888" s="3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</row>
    <row r="889" ht="15.75" customHeight="1">
      <c r="A889" s="12"/>
      <c r="B889" s="3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</row>
    <row r="890" ht="15.75" customHeight="1">
      <c r="A890" s="12"/>
      <c r="B890" s="3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</row>
    <row r="891" ht="15.75" customHeight="1">
      <c r="A891" s="12"/>
      <c r="B891" s="3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</row>
    <row r="892" ht="15.75" customHeight="1">
      <c r="A892" s="12"/>
      <c r="B892" s="3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</row>
    <row r="893" ht="15.75" customHeight="1">
      <c r="A893" s="12"/>
      <c r="B893" s="3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</row>
    <row r="894" ht="15.75" customHeight="1">
      <c r="A894" s="12"/>
      <c r="B894" s="3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</row>
    <row r="895" ht="15.75" customHeight="1">
      <c r="A895" s="12"/>
      <c r="B895" s="3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</row>
    <row r="896" ht="15.75" customHeight="1">
      <c r="A896" s="12"/>
      <c r="B896" s="3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</row>
    <row r="897" ht="15.75" customHeight="1">
      <c r="A897" s="12"/>
      <c r="B897" s="3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</row>
    <row r="898" ht="15.75" customHeight="1">
      <c r="A898" s="12"/>
      <c r="B898" s="3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</row>
    <row r="899" ht="15.75" customHeight="1">
      <c r="A899" s="12"/>
      <c r="B899" s="3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</row>
    <row r="900" ht="15.75" customHeight="1">
      <c r="A900" s="12"/>
      <c r="B900" s="3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</row>
    <row r="901" ht="15.75" customHeight="1">
      <c r="A901" s="12"/>
      <c r="B901" s="3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</row>
    <row r="902" ht="15.75" customHeight="1">
      <c r="A902" s="12"/>
      <c r="B902" s="3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</row>
    <row r="903" ht="15.75" customHeight="1">
      <c r="A903" s="12"/>
      <c r="B903" s="3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</row>
    <row r="904" ht="15.75" customHeight="1">
      <c r="A904" s="12"/>
      <c r="B904" s="3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</row>
    <row r="905" ht="15.75" customHeight="1">
      <c r="A905" s="12"/>
      <c r="B905" s="3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</row>
    <row r="906" ht="15.75" customHeight="1">
      <c r="A906" s="12"/>
      <c r="B906" s="3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</row>
    <row r="907" ht="15.75" customHeight="1">
      <c r="A907" s="12"/>
      <c r="B907" s="3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</row>
    <row r="908" ht="15.75" customHeight="1">
      <c r="A908" s="12"/>
      <c r="B908" s="3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</row>
    <row r="909" ht="15.75" customHeight="1">
      <c r="A909" s="12"/>
      <c r="B909" s="3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</row>
    <row r="910" ht="15.75" customHeight="1">
      <c r="A910" s="12"/>
      <c r="B910" s="3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</row>
    <row r="911" ht="15.75" customHeight="1">
      <c r="A911" s="12"/>
      <c r="B911" s="3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</row>
    <row r="912" ht="15.75" customHeight="1">
      <c r="A912" s="12"/>
      <c r="B912" s="3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</row>
    <row r="913" ht="15.75" customHeight="1">
      <c r="A913" s="12"/>
      <c r="B913" s="3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</row>
    <row r="914" ht="15.75" customHeight="1">
      <c r="A914" s="12"/>
      <c r="B914" s="3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</row>
    <row r="915" ht="15.75" customHeight="1">
      <c r="A915" s="12"/>
      <c r="B915" s="3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</row>
    <row r="916" ht="15.75" customHeight="1">
      <c r="A916" s="12"/>
      <c r="B916" s="3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</row>
    <row r="917" ht="15.75" customHeight="1">
      <c r="A917" s="12"/>
      <c r="B917" s="3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</row>
    <row r="918" ht="15.75" customHeight="1">
      <c r="A918" s="12"/>
      <c r="B918" s="3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</row>
    <row r="919" ht="15.75" customHeight="1">
      <c r="A919" s="12"/>
      <c r="B919" s="3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</row>
    <row r="920" ht="15.75" customHeight="1">
      <c r="A920" s="12"/>
      <c r="B920" s="3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</row>
    <row r="921" ht="15.75" customHeight="1">
      <c r="A921" s="12"/>
      <c r="B921" s="3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</row>
    <row r="922" ht="15.75" customHeight="1">
      <c r="A922" s="12"/>
      <c r="B922" s="3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</row>
    <row r="923" ht="15.75" customHeight="1">
      <c r="A923" s="12"/>
      <c r="B923" s="3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</row>
    <row r="924" ht="15.75" customHeight="1">
      <c r="A924" s="12"/>
      <c r="B924" s="3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</row>
    <row r="925" ht="15.75" customHeight="1">
      <c r="A925" s="12"/>
      <c r="B925" s="3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</row>
    <row r="926" ht="15.75" customHeight="1">
      <c r="A926" s="12"/>
      <c r="B926" s="3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</row>
    <row r="927" ht="15.75" customHeight="1">
      <c r="A927" s="12"/>
      <c r="B927" s="3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</row>
    <row r="928" ht="15.75" customHeight="1">
      <c r="A928" s="12"/>
      <c r="B928" s="3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</row>
    <row r="929" ht="15.75" customHeight="1">
      <c r="A929" s="12"/>
      <c r="B929" s="3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</row>
    <row r="930" ht="15.75" customHeight="1">
      <c r="A930" s="12"/>
      <c r="B930" s="3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</row>
    <row r="931" ht="15.75" customHeight="1">
      <c r="A931" s="12"/>
      <c r="B931" s="3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</row>
    <row r="932" ht="15.75" customHeight="1">
      <c r="A932" s="12"/>
      <c r="B932" s="3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</row>
    <row r="933" ht="15.75" customHeight="1">
      <c r="A933" s="12"/>
      <c r="B933" s="3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</row>
    <row r="934" ht="15.75" customHeight="1">
      <c r="A934" s="12"/>
      <c r="B934" s="3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</row>
    <row r="935" ht="15.75" customHeight="1">
      <c r="A935" s="12"/>
      <c r="B935" s="3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</row>
    <row r="936" ht="15.75" customHeight="1">
      <c r="A936" s="12"/>
      <c r="B936" s="3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</row>
    <row r="937" ht="15.75" customHeight="1">
      <c r="A937" s="12"/>
      <c r="B937" s="3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</row>
    <row r="938" ht="15.75" customHeight="1">
      <c r="A938" s="12"/>
      <c r="B938" s="3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</row>
    <row r="939" ht="15.75" customHeight="1">
      <c r="A939" s="12"/>
      <c r="B939" s="3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</row>
    <row r="940" ht="15.75" customHeight="1">
      <c r="A940" s="12"/>
      <c r="B940" s="3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</row>
    <row r="941" ht="15.75" customHeight="1">
      <c r="A941" s="12"/>
      <c r="B941" s="3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</row>
    <row r="942" ht="15.75" customHeight="1">
      <c r="A942" s="12"/>
      <c r="B942" s="3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</row>
    <row r="943" ht="15.75" customHeight="1">
      <c r="A943" s="12"/>
      <c r="B943" s="3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</row>
    <row r="944" ht="15.75" customHeight="1">
      <c r="A944" s="12"/>
      <c r="B944" s="3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</row>
    <row r="945" ht="15.75" customHeight="1">
      <c r="A945" s="12"/>
      <c r="B945" s="3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</row>
    <row r="946" ht="15.75" customHeight="1">
      <c r="A946" s="12"/>
      <c r="B946" s="3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</row>
    <row r="947" ht="15.75" customHeight="1">
      <c r="A947" s="12"/>
      <c r="B947" s="3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</row>
    <row r="948" ht="15.75" customHeight="1">
      <c r="A948" s="12"/>
      <c r="B948" s="3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</row>
    <row r="949" ht="15.75" customHeight="1">
      <c r="A949" s="12"/>
      <c r="B949" s="3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</row>
    <row r="950" ht="15.75" customHeight="1">
      <c r="A950" s="12"/>
      <c r="B950" s="3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</row>
    <row r="951" ht="15.75" customHeight="1">
      <c r="A951" s="12"/>
      <c r="B951" s="3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</row>
    <row r="952" ht="15.75" customHeight="1">
      <c r="A952" s="12"/>
      <c r="B952" s="3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</row>
    <row r="953" ht="15.75" customHeight="1">
      <c r="A953" s="12"/>
      <c r="B953" s="3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</row>
    <row r="954" ht="15.75" customHeight="1">
      <c r="A954" s="12"/>
      <c r="B954" s="3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</row>
    <row r="955" ht="15.75" customHeight="1">
      <c r="A955" s="12"/>
      <c r="B955" s="3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</row>
    <row r="956" ht="15.75" customHeight="1">
      <c r="A956" s="12"/>
      <c r="B956" s="3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</row>
    <row r="957" ht="15.75" customHeight="1">
      <c r="A957" s="12"/>
      <c r="B957" s="3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</row>
    <row r="958" ht="15.75" customHeight="1">
      <c r="A958" s="12"/>
      <c r="B958" s="3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</row>
    <row r="959" ht="15.75" customHeight="1">
      <c r="A959" s="12"/>
      <c r="B959" s="3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</row>
    <row r="960" ht="15.75" customHeight="1">
      <c r="A960" s="12"/>
      <c r="B960" s="3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</row>
    <row r="961" ht="15.75" customHeight="1">
      <c r="A961" s="12"/>
      <c r="B961" s="3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</row>
    <row r="962" ht="15.75" customHeight="1">
      <c r="A962" s="12"/>
      <c r="B962" s="3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</row>
    <row r="963" ht="15.75" customHeight="1">
      <c r="A963" s="12"/>
      <c r="B963" s="3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</row>
    <row r="964" ht="15.75" customHeight="1">
      <c r="A964" s="12"/>
      <c r="B964" s="3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</row>
    <row r="965" ht="15.75" customHeight="1">
      <c r="A965" s="12"/>
      <c r="B965" s="3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</row>
    <row r="966" ht="15.75" customHeight="1">
      <c r="A966" s="12"/>
      <c r="B966" s="3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</row>
    <row r="967" ht="15.75" customHeight="1">
      <c r="A967" s="12"/>
      <c r="B967" s="3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</row>
    <row r="968" ht="15.75" customHeight="1">
      <c r="A968" s="12"/>
      <c r="B968" s="3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</row>
    <row r="969" ht="15.75" customHeight="1">
      <c r="A969" s="12"/>
      <c r="B969" s="3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</row>
    <row r="970" ht="15.75" customHeight="1">
      <c r="A970" s="12"/>
      <c r="B970" s="3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</row>
    <row r="971" ht="15.75" customHeight="1">
      <c r="A971" s="12"/>
      <c r="B971" s="3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</row>
    <row r="972" ht="15.75" customHeight="1">
      <c r="A972" s="12"/>
      <c r="B972" s="3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</row>
    <row r="973" ht="15.75" customHeight="1">
      <c r="A973" s="12"/>
      <c r="B973" s="3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</row>
    <row r="974" ht="15.75" customHeight="1">
      <c r="A974" s="12"/>
      <c r="B974" s="3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</row>
    <row r="975" ht="15.75" customHeight="1">
      <c r="A975" s="12"/>
      <c r="B975" s="3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</row>
    <row r="976" ht="15.75" customHeight="1">
      <c r="A976" s="12"/>
      <c r="B976" s="3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</row>
    <row r="977" ht="15.75" customHeight="1">
      <c r="A977" s="12"/>
      <c r="B977" s="3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</row>
    <row r="978" ht="15.75" customHeight="1">
      <c r="A978" s="12"/>
      <c r="B978" s="3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</row>
    <row r="979" ht="15.75" customHeight="1">
      <c r="A979" s="12"/>
      <c r="B979" s="3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</row>
    <row r="980" ht="15.75" customHeight="1">
      <c r="A980" s="12"/>
      <c r="B980" s="3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</row>
    <row r="981" ht="15.75" customHeight="1">
      <c r="A981" s="12"/>
      <c r="B981" s="3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</row>
    <row r="982" ht="15.75" customHeight="1">
      <c r="A982" s="12"/>
      <c r="B982" s="3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</row>
    <row r="983" ht="15.75" customHeight="1">
      <c r="A983" s="12"/>
      <c r="B983" s="3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</row>
    <row r="984" ht="15.75" customHeight="1">
      <c r="A984" s="12"/>
      <c r="B984" s="3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</row>
    <row r="985" ht="15.75" customHeight="1">
      <c r="A985" s="12"/>
      <c r="B985" s="3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</row>
    <row r="986" ht="15.75" customHeight="1">
      <c r="A986" s="12"/>
      <c r="B986" s="3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</row>
    <row r="987" ht="15.75" customHeight="1">
      <c r="A987" s="12"/>
      <c r="B987" s="3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</row>
    <row r="988" ht="15.75" customHeight="1">
      <c r="A988" s="12"/>
      <c r="B988" s="3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</row>
    <row r="989" ht="15.75" customHeight="1">
      <c r="A989" s="12"/>
      <c r="B989" s="3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</row>
    <row r="990" ht="15.75" customHeight="1">
      <c r="A990" s="12"/>
      <c r="B990" s="3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</row>
    <row r="991" ht="15.75" customHeight="1">
      <c r="A991" s="12"/>
      <c r="B991" s="3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</row>
    <row r="992" ht="15.75" customHeight="1">
      <c r="A992" s="12"/>
      <c r="B992" s="3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</row>
    <row r="993" ht="15.75" customHeight="1">
      <c r="A993" s="12"/>
      <c r="B993" s="3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</row>
    <row r="994" ht="15.75" customHeight="1">
      <c r="A994" s="12"/>
      <c r="B994" s="3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</row>
    <row r="995" ht="15.75" customHeight="1">
      <c r="A995" s="12"/>
      <c r="B995" s="3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</row>
    <row r="996" ht="15.75" customHeight="1">
      <c r="A996" s="12"/>
      <c r="B996" s="3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</row>
    <row r="997" ht="15.75" customHeight="1">
      <c r="A997" s="12"/>
      <c r="B997" s="3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</row>
    <row r="998" ht="15.75" customHeight="1">
      <c r="A998" s="12"/>
      <c r="B998" s="3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</row>
    <row r="999" ht="15.75" customHeight="1">
      <c r="A999" s="12"/>
      <c r="B999" s="3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</row>
    <row r="1000" ht="15.75" customHeight="1">
      <c r="A1000" s="12"/>
      <c r="B1000" s="3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R1000" s="12"/>
      <c r="S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</row>
  </sheetData>
  <mergeCells count="119">
    <mergeCell ref="A1:AR1"/>
    <mergeCell ref="H2:M2"/>
    <mergeCell ref="N2:S2"/>
    <mergeCell ref="T2:Y2"/>
    <mergeCell ref="Z2:AE2"/>
    <mergeCell ref="AF2:AK2"/>
    <mergeCell ref="AL2:AR2"/>
    <mergeCell ref="A2:G2"/>
    <mergeCell ref="H3:M4"/>
    <mergeCell ref="N3:S4"/>
    <mergeCell ref="T3:Y4"/>
    <mergeCell ref="Z3:AE4"/>
    <mergeCell ref="AF3:AK4"/>
    <mergeCell ref="AL3:AR4"/>
    <mergeCell ref="AL5:AQ5"/>
    <mergeCell ref="A3:G4"/>
    <mergeCell ref="B5:C5"/>
    <mergeCell ref="B6:R7"/>
    <mergeCell ref="X6:AA6"/>
    <mergeCell ref="AL6:AN6"/>
    <mergeCell ref="AO6:AQ6"/>
    <mergeCell ref="X7:AA7"/>
    <mergeCell ref="AL7:AQ7"/>
    <mergeCell ref="AL9:AN9"/>
    <mergeCell ref="AO9:AQ9"/>
    <mergeCell ref="AC6:AH6"/>
    <mergeCell ref="AC7:AH7"/>
    <mergeCell ref="AC8:AH8"/>
    <mergeCell ref="AL8:AN8"/>
    <mergeCell ref="AO8:AQ8"/>
    <mergeCell ref="AC9:AF9"/>
    <mergeCell ref="AG9:AJ9"/>
    <mergeCell ref="AC11:AF11"/>
    <mergeCell ref="AC12:AF12"/>
    <mergeCell ref="AG12:AJ12"/>
    <mergeCell ref="AL12:AN12"/>
    <mergeCell ref="AO12:AQ12"/>
    <mergeCell ref="AC10:AF10"/>
    <mergeCell ref="AG10:AJ10"/>
    <mergeCell ref="AL10:AN10"/>
    <mergeCell ref="AO10:AQ10"/>
    <mergeCell ref="AG11:AJ11"/>
    <mergeCell ref="AL11:AN11"/>
    <mergeCell ref="AO11:AQ11"/>
    <mergeCell ref="T16:W16"/>
    <mergeCell ref="X16:AA16"/>
    <mergeCell ref="AC16:AF16"/>
    <mergeCell ref="AG16:AJ16"/>
    <mergeCell ref="X17:AA17"/>
    <mergeCell ref="AC17:AF17"/>
    <mergeCell ref="AG17:AJ17"/>
    <mergeCell ref="T17:W17"/>
    <mergeCell ref="T18:W18"/>
    <mergeCell ref="X18:AA18"/>
    <mergeCell ref="AC18:AF18"/>
    <mergeCell ref="AG18:AJ18"/>
    <mergeCell ref="O19:S19"/>
    <mergeCell ref="T19:W19"/>
    <mergeCell ref="O20:S20"/>
    <mergeCell ref="T20:W20"/>
    <mergeCell ref="X20:Z20"/>
    <mergeCell ref="AA20:AC20"/>
    <mergeCell ref="AD20:AF20"/>
    <mergeCell ref="AG20:AI20"/>
    <mergeCell ref="AJ20:AK20"/>
    <mergeCell ref="O21:S21"/>
    <mergeCell ref="T21:W21"/>
    <mergeCell ref="X21:Z21"/>
    <mergeCell ref="AA21:AC21"/>
    <mergeCell ref="AD21:AF21"/>
    <mergeCell ref="AG21:AI21"/>
    <mergeCell ref="AJ21:AK21"/>
    <mergeCell ref="T22:W22"/>
    <mergeCell ref="U24:Y24"/>
    <mergeCell ref="A35:B35"/>
    <mergeCell ref="D35:E35"/>
    <mergeCell ref="AG24:AJ24"/>
    <mergeCell ref="AG25:AJ25"/>
    <mergeCell ref="O22:S22"/>
    <mergeCell ref="X22:Z22"/>
    <mergeCell ref="AA22:AC22"/>
    <mergeCell ref="AD22:AF22"/>
    <mergeCell ref="AG22:AI22"/>
    <mergeCell ref="AG23:AJ23"/>
    <mergeCell ref="AJ22:AK22"/>
    <mergeCell ref="T12:AA12"/>
    <mergeCell ref="T13:W13"/>
    <mergeCell ref="X13:AA13"/>
    <mergeCell ref="AC13:AF13"/>
    <mergeCell ref="AG13:AJ13"/>
    <mergeCell ref="AL13:AN13"/>
    <mergeCell ref="AO13:AQ13"/>
    <mergeCell ref="T6:W6"/>
    <mergeCell ref="T7:W7"/>
    <mergeCell ref="T8:W8"/>
    <mergeCell ref="X8:AA8"/>
    <mergeCell ref="T9:W9"/>
    <mergeCell ref="X9:AA9"/>
    <mergeCell ref="T11:AA11"/>
    <mergeCell ref="AC15:AF15"/>
    <mergeCell ref="AG15:AJ15"/>
    <mergeCell ref="AL15:AN15"/>
    <mergeCell ref="AO15:AQ15"/>
    <mergeCell ref="AL16:AQ16"/>
    <mergeCell ref="AL17:AN17"/>
    <mergeCell ref="AO17:AQ17"/>
    <mergeCell ref="AL18:AN18"/>
    <mergeCell ref="AO18:AQ18"/>
    <mergeCell ref="T14:W14"/>
    <mergeCell ref="X14:AA14"/>
    <mergeCell ref="AC14:AF14"/>
    <mergeCell ref="AG14:AJ14"/>
    <mergeCell ref="AL14:AN14"/>
    <mergeCell ref="P15:Q15"/>
    <mergeCell ref="T15:AA15"/>
    <mergeCell ref="X19:Z19"/>
    <mergeCell ref="AA19:AC19"/>
    <mergeCell ref="AD19:AF19"/>
    <mergeCell ref="AG19:AI19"/>
  </mergeCells>
  <conditionalFormatting sqref="AO17:AQ18">
    <cfRule type="containsText" dxfId="0" priority="1" operator="containsText" text="Invalid">
      <formula>NOT(ISERROR(SEARCH(("Invalid"),(AO17))))</formula>
    </cfRule>
  </conditionalFormatting>
  <conditionalFormatting sqref="AO17:AQ18">
    <cfRule type="containsText" dxfId="1" priority="2" operator="containsText" text="Valid">
      <formula>NOT(ISERROR(SEARCH(("Valid"),(AO17))))</formula>
    </cfRule>
  </conditionalFormatting>
  <conditionalFormatting sqref="H3:M4">
    <cfRule type="cellIs" dxfId="2" priority="3" operator="lessThan">
      <formula>0</formula>
    </cfRule>
  </conditionalFormatting>
  <conditionalFormatting sqref="AF3:AR4">
    <cfRule type="containsText" dxfId="2" priority="4" operator="containsText" text="Please select valid dates">
      <formula>NOT(ISERROR(SEARCH(("Please select valid dates"),(AF3))))</formula>
    </cfRule>
  </conditionalFormatting>
  <dataValidations>
    <dataValidation type="list" allowBlank="1" showErrorMessage="1" sqref="AR14">
      <formula1>"JANUARY,FEBRUARY,MARCH,APRIL,MAY,JUNE,JULY,AUGUST,SEPTEMBER,OCTOBER,NOVEMBER,DECEMBER"</formula1>
    </dataValidation>
    <dataValidation type="list" allowBlank="1" showErrorMessage="1" sqref="AL13 AO13">
      <formula1>"2020,2021,2022,2023,2024,2025"</formula1>
    </dataValidation>
    <dataValidation type="list" allowBlank="1" showErrorMessage="1" sqref="AC7 AR11">
      <formula1>"ASKY,QATAR,ETHIOPIAN,LUFTHANSA,VIRGIN ATLANTIC,DELTA,SOUTH AFRICAN,BRITISH,DHL"</formula1>
    </dataValidation>
    <dataValidation type="list" allowBlank="1" showErrorMessage="1" sqref="AL11 AO11">
      <formula1>"JAN,FEB,MAR,APR,MAY,JUN,JUL,AUG,SEP,OCT,NOV,DEC"</formula1>
    </dataValidation>
    <dataValidation type="list" allowBlank="1" showInputMessage="1" showErrorMessage="1" prompt="Select" sqref="AL9 AO9">
      <formula1>"1,2,3,4,5,6,7,8,9,10,11,12,13,14,15,16,17,18,19,20,21,22,23,24,25,26,27,28,29,30,31"</formula1>
    </dataValidation>
    <dataValidation type="list" allowBlank="1" showErrorMessage="1" sqref="H2">
      <formula1>"TANK 1 VARIANCE,TANK 2 VARIANCE,TANK 3 VARIANCE,TOTAL TANK VARIANCE"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2" width="17.14"/>
    <col customWidth="1" min="3" max="3" width="14.29"/>
    <col customWidth="1" min="4" max="4" width="17.86"/>
    <col customWidth="1" min="5" max="5" width="14.0"/>
    <col customWidth="1" min="6" max="6" width="20.57"/>
    <col customWidth="1" min="7" max="7" width="20.86"/>
    <col customWidth="1" min="8" max="8" width="19.0"/>
    <col customWidth="1" min="9" max="9" width="18.0"/>
    <col customWidth="1" min="10" max="10" width="13.86"/>
  </cols>
  <sheetData>
    <row r="1">
      <c r="B1" s="103" t="s">
        <v>49</v>
      </c>
      <c r="F1" s="103" t="s">
        <v>5</v>
      </c>
    </row>
    <row r="2">
      <c r="B2" s="104" t="str">
        <f>TEXT(NOW(),"DD, MMMM YYYY HH:MM")</f>
        <v>21, September 2025 14:07</v>
      </c>
      <c r="C2" s="18"/>
      <c r="F2" s="105">
        <f>(IF(TIMEVALUE(NOW()) &lt; TIME(8,0,0), TODAY()-1+TIME(8,0,0), TODAY()+TIME(8,0,0)))</f>
        <v>45921.33333</v>
      </c>
      <c r="G2" s="106">
        <f>F2+1</f>
        <v>45922.33333</v>
      </c>
    </row>
    <row r="3">
      <c r="A3" s="107" t="s">
        <v>50</v>
      </c>
    </row>
    <row r="4">
      <c r="A4" s="108" t="s">
        <v>7</v>
      </c>
      <c r="B4" s="109" t="s">
        <v>51</v>
      </c>
      <c r="C4" s="109" t="s">
        <v>52</v>
      </c>
      <c r="D4" s="109" t="s">
        <v>53</v>
      </c>
      <c r="E4" s="110" t="s">
        <v>54</v>
      </c>
      <c r="G4" s="108" t="s">
        <v>7</v>
      </c>
      <c r="H4" s="111" t="s">
        <v>55</v>
      </c>
      <c r="I4" s="112" t="s">
        <v>56</v>
      </c>
    </row>
    <row r="5">
      <c r="A5" s="113" t="s">
        <v>10</v>
      </c>
      <c r="B5" s="114">
        <f>IFERROR(__xludf.DUMMYFUNCTION("IFERROR(VLOOKUP(MAX(FILTER(TSM!A:A,TSM!A:A&gt;=F2,TSM!A:A&lt;G2,TSM!D:D=G5)),TSM!A:Q,10,FALSE),VLOOKUP(MAXIFS(TSM!A:A,TSM!D:D,G5),TSM!A:Q,10,FALSE))"),0.0)</f>
        <v>0</v>
      </c>
      <c r="C5" s="114">
        <v>1035347.0</v>
      </c>
      <c r="D5" s="114">
        <f t="shared" ref="D5:D7" si="1">C5-B5</f>
        <v>1035347</v>
      </c>
      <c r="E5" s="115">
        <f t="shared" ref="E5:E8" si="2">B5/C5</f>
        <v>0</v>
      </c>
      <c r="F5" s="116" t="str">
        <f>IFERROR(__xludf.DUMMYFUNCTION("IFERROR(MIN(FILTER(TSM!A:A,TSM!A:A&gt;=F2,TSM!A:A&lt;G2,TSM!D:D=G5)),""DATE NOT AVAILABLE"")"),"DATE NOT AVAILABLE")</f>
        <v>DATE NOT AVAILABLE</v>
      </c>
      <c r="G5" s="113" t="s">
        <v>10</v>
      </c>
      <c r="H5" s="117">
        <f>IFERROR(__xludf.DUMMYFUNCTION("IFERROR(VLOOKUP(MIN(FILTER(TSM!A:A,TSM!A:A&gt;=F2,TSM!A:A&lt;G2,TSM!D:D=G5)),TSM!A:Q,8,FALSE),VLOOKUP( MAXIFS(TSM!A:A,TSM!D:D,G5),TSM!A:Q,10,FALSE))"),0.0)</f>
        <v>0</v>
      </c>
      <c r="I5" s="118">
        <f>IFERROR(__xludf.DUMMYFUNCTION("IFERROR(VLOOKUP(MAX(FILTER(TSM!A:A,TSM!A:A&gt;=F2,TSM!A:A&lt;G2,TSM!D:D=G5)),TSM!A:Q,10,FALSE),VLOOKUP(MAXIFS(TSM!A:A,TSM!D:D,G5),TSM!A:Q,10,FALSE))"),0.0)</f>
        <v>0</v>
      </c>
    </row>
    <row r="6">
      <c r="A6" s="113" t="s">
        <v>13</v>
      </c>
      <c r="B6" s="114">
        <f>IFERROR(__xludf.DUMMYFUNCTION("IFERROR(VLOOKUP(MAX(FILTER(TSM!A:A,TSM!A:A&gt;=F2,TSM!A:A&lt;G2,TSM!D:D=G6)),TSM!A:Q,10,FALSE),VLOOKUP(MAXIFS(TSM!A:A,TSM!D:D,G6),TSM!A:Q,10,FALSE))"),0.0)</f>
        <v>0</v>
      </c>
      <c r="C6" s="114">
        <v>1112883.0</v>
      </c>
      <c r="D6" s="114">
        <f t="shared" si="1"/>
        <v>1112883</v>
      </c>
      <c r="E6" s="115">
        <f t="shared" si="2"/>
        <v>0</v>
      </c>
      <c r="F6" s="116" t="str">
        <f>IFERROR(__xludf.DUMMYFUNCTION("IFERROR(MIN(FILTER(TSM!A:A,TSM!A:A&gt;=F2,TSM!A:A&lt;G2,TSM!D:D=G6)),""DATE NOT AVAILABLE"")"),"DATE NOT AVAILABLE")</f>
        <v>DATE NOT AVAILABLE</v>
      </c>
      <c r="G6" s="113" t="s">
        <v>13</v>
      </c>
      <c r="H6" s="119">
        <f>IFERROR(__xludf.DUMMYFUNCTION("IFERROR(VLOOKUP(MIN(FILTER(TSM!A:A,TSM!A:A&gt;=F2,TSM!A:A&lt;G2,TSM!D:D=G6)),TSM!A:Q,8,FALSE),VLOOKUP(MAXIFS(TSM!A:A,TSM!D:D,G6),TSM!A:Q,10,FALSE))"),0.0)</f>
        <v>0</v>
      </c>
      <c r="I6" s="120">
        <f>IFERROR(__xludf.DUMMYFUNCTION("IFERROR(VLOOKUP(MAX(FILTER(TSM!A:A,TSM!A:A&gt;=F2,TSM!A:A&lt;G2,TSM!D:D=G6)),TSM!A:Q,10,FALSE),VLOOKUP(MAXIFS(TSM!A:A,TSM!D:D,G6),TSM!A:Q,10,FALSE))"),0.0)</f>
        <v>0</v>
      </c>
    </row>
    <row r="7">
      <c r="A7" s="113" t="s">
        <v>16</v>
      </c>
      <c r="B7" s="114">
        <f>IFERROR(__xludf.DUMMYFUNCTION("IFERROR(VLOOKUP(MAX(FILTER(TSM!A:A,TSM!A:A&gt;=F2,TSM!A:A&lt;G2,TSM!D:D=G7)),TSM!A:Q,10,FALSE),VLOOKUP(MAXIFS(TSM!A:A,TSM!D:D,G7),TSM!A:Q,10,FALSE))"),268642.0)</f>
        <v>268642</v>
      </c>
      <c r="C7" s="114">
        <v>1416494.0</v>
      </c>
      <c r="D7" s="114">
        <f t="shared" si="1"/>
        <v>1147852</v>
      </c>
      <c r="E7" s="115">
        <f t="shared" si="2"/>
        <v>0.1896527624</v>
      </c>
      <c r="F7" s="116" t="str">
        <f>IFERROR(__xludf.DUMMYFUNCTION("IFERROR(MIN(FILTER(TSM!A:A,TSM!A:A&gt;=F2,TSM!A:A&lt;G2,TSM!D:D=G7)),""DATE NOT AVAILABLE"")"),"DATE NOT AVAILABLE")</f>
        <v>DATE NOT AVAILABLE</v>
      </c>
      <c r="G7" s="113" t="s">
        <v>16</v>
      </c>
      <c r="H7" s="119">
        <f>IFERROR(__xludf.DUMMYFUNCTION("IFERROR(VLOOKUP(MIN(FILTER(TSM!A:A,TSM!A:A&gt;=F2,TSM!A:A&lt;G2,TSM!D:D=G7)),TSM!A:Q,8,FALSE),VLOOKUP(MAXIFS(TSM!A:A,TSM!D:D,G7),TSM!A:Q,10,FALSE))"),268642.0)</f>
        <v>268642</v>
      </c>
      <c r="I7" s="120">
        <f>IFERROR(__xludf.DUMMYFUNCTION("IFERROR(VLOOKUP(MAX(FILTER(TSM!A:A,TSM!A:A&gt;=F2,TSM!A:A&lt;G2,TSM!D:D=G7)),TSM!A:Q,10,FALSE),VLOOKUP(MAXIFS(TSM!A:A,TSM!D:D,G7),TSM!A:Q,10,FALSE))"),268642.0)</f>
        <v>268642</v>
      </c>
    </row>
    <row r="8">
      <c r="A8" s="121" t="s">
        <v>57</v>
      </c>
      <c r="B8" s="122">
        <f t="shared" ref="B8:D8" si="3">SUM(B5:B7)</f>
        <v>268642</v>
      </c>
      <c r="C8" s="122">
        <f t="shared" si="3"/>
        <v>3564724</v>
      </c>
      <c r="D8" s="122">
        <f t="shared" si="3"/>
        <v>3296082</v>
      </c>
      <c r="E8" s="123">
        <f t="shared" si="2"/>
        <v>0.07536123414</v>
      </c>
    </row>
    <row r="9">
      <c r="A9" s="124"/>
      <c r="B9" s="124"/>
      <c r="C9" s="124"/>
      <c r="D9" s="124"/>
      <c r="E9" s="125"/>
      <c r="G9" s="93" t="str">
        <f>IFERROR(__xludf.DUMMYFUNCTION("if(min(filter(TSM!A:A,TSM!A:A&gt;=F2,TSM!A:A&lt;G2)),vlookup(min(filter(TSM!A:A,TSM!A:A&gt;=F2,TSM!A:A&lt;G2)),TSM!A:Q,9,FALSE),"""")"),"#N/A")</f>
        <v>#N/A</v>
      </c>
    </row>
    <row r="10">
      <c r="A10" s="126" t="s">
        <v>58</v>
      </c>
      <c r="D10" s="124"/>
      <c r="E10" s="125"/>
    </row>
    <row r="11">
      <c r="A11" s="127" t="s">
        <v>17</v>
      </c>
      <c r="B11" s="128" t="s">
        <v>51</v>
      </c>
      <c r="C11" s="128" t="s">
        <v>52</v>
      </c>
      <c r="D11" s="129"/>
      <c r="E11" s="130"/>
      <c r="F11" s="131" t="s">
        <v>24</v>
      </c>
      <c r="G11" s="132"/>
      <c r="H11" s="131" t="s">
        <v>34</v>
      </c>
      <c r="I11" s="132"/>
      <c r="K11" s="13"/>
      <c r="L11" s="13"/>
    </row>
    <row r="12">
      <c r="A12" s="113" t="s">
        <v>18</v>
      </c>
      <c r="B12" s="114">
        <f>IFERROR(VLOOKUP(MAXIFS(TSM!A:A,TSM!F:F,A12),TSM!A:Q,14,FALSE),"")</f>
        <v>54596</v>
      </c>
      <c r="C12" s="114">
        <v>58000.0</v>
      </c>
      <c r="D12" s="129"/>
      <c r="E12" s="127" t="s">
        <v>17</v>
      </c>
      <c r="F12" s="133" t="s">
        <v>28</v>
      </c>
      <c r="G12" s="133" t="s">
        <v>30</v>
      </c>
      <c r="H12" s="133" t="s">
        <v>28</v>
      </c>
      <c r="I12" s="133" t="s">
        <v>30</v>
      </c>
      <c r="K12" s="134"/>
      <c r="L12" s="134"/>
    </row>
    <row r="13">
      <c r="A13" s="113" t="s">
        <v>22</v>
      </c>
      <c r="B13" s="114">
        <f>IFERROR(VLOOKUP(MAXIFS(TSM!A:A,TSM!F:F,A13),TSM!A:Q,14,FALSE),"")</f>
        <v>35161</v>
      </c>
      <c r="C13" s="114">
        <v>37000.0</v>
      </c>
      <c r="D13" s="129"/>
      <c r="E13" s="113" t="s">
        <v>18</v>
      </c>
      <c r="F13" s="114">
        <f>SUMIFS(TSM!K:K,TSM!E:E,"Loading",TSM!F:F,E13,TSM!A:A,MAXIFS(TSM!A:A,TSM!A:A,TSM!A:A&gt;=F2,TSM!A:A&lt;G2,TSM!F:F,E13))</f>
        <v>0</v>
      </c>
      <c r="G13" s="114"/>
      <c r="H13" s="135"/>
      <c r="I13" s="114"/>
      <c r="K13" s="134"/>
      <c r="L13" s="134"/>
    </row>
    <row r="14">
      <c r="A14" s="113" t="s">
        <v>25</v>
      </c>
      <c r="B14" s="114">
        <f>IFERROR(VLOOKUP(MAXIFS(TSM!A:A,TSM!F:F,A14),TSM!A:Q,14,FALSE),"")</f>
        <v>5493</v>
      </c>
      <c r="C14" s="114">
        <v>28000.0</v>
      </c>
      <c r="D14" s="129"/>
      <c r="E14" s="113" t="s">
        <v>22</v>
      </c>
      <c r="F14" s="114">
        <f>SUMIFS(TSM!K:K,TSM!E:E,"Loading",TSM!F:F,E14,TSM!A:A,MAXIFS(TSM!A:A,TSM!A:A,TSM!A:A&gt;=F3,TSM!A:A&lt;G3,TSM!F:F,E14))</f>
        <v>0</v>
      </c>
      <c r="G14" s="114"/>
      <c r="H14" s="135"/>
      <c r="I14" s="114"/>
      <c r="K14" s="134"/>
      <c r="L14" s="134"/>
    </row>
    <row r="15">
      <c r="A15" s="113" t="s">
        <v>59</v>
      </c>
      <c r="B15" s="114">
        <f>IFERROR(VLOOKUP(MAXIFS(TSM!A:A,TSM!F:F,A15),TSM!A:Q,14,FALSE),"")</f>
        <v>54990</v>
      </c>
      <c r="C15" s="114">
        <v>58000.0</v>
      </c>
      <c r="D15" s="129"/>
      <c r="E15" s="113" t="s">
        <v>25</v>
      </c>
      <c r="F15" s="114">
        <f>SUMIFS(TSM!K:K,TSM!E:E,"Loading",TSM!F:F,E15,TSM!A:A,MAXIFS(TSM!A:A,TSM!A:A,TSM!A:A&gt;=F4,TSM!A:A&lt;G4,TSM!F:F,E15))</f>
        <v>0</v>
      </c>
      <c r="G15" s="114"/>
      <c r="H15" s="135"/>
      <c r="I15" s="114"/>
      <c r="K15" s="134"/>
      <c r="L15" s="134"/>
    </row>
    <row r="16">
      <c r="A16" s="113" t="s">
        <v>31</v>
      </c>
      <c r="B16" s="114">
        <f>IFERROR(VLOOKUP(MAXIFS(TSM!A:A,TSM!F:F,A16),TSM!A:Q,14,FALSE),"")</f>
        <v>41009</v>
      </c>
      <c r="C16" s="114">
        <v>40000.0</v>
      </c>
      <c r="D16" s="129"/>
      <c r="E16" s="113" t="s">
        <v>59</v>
      </c>
      <c r="F16" s="114">
        <f>SUMIFS(TSM!K:K,TSM!E:E,"Loading",TSM!F:F,E16,TSM!A:A,MAXIFS(TSM!A:A,TSM!A:A,TSM!A:A&gt;=F5,TSM!A:A&lt;G5,TSM!F:F,E16))</f>
        <v>0</v>
      </c>
      <c r="G16" s="136"/>
      <c r="H16" s="137"/>
      <c r="I16" s="138"/>
    </row>
    <row r="17">
      <c r="A17" s="113" t="s">
        <v>35</v>
      </c>
      <c r="B17" s="114" t="str">
        <f>IFERROR(VLOOKUP(MAXIFS(TSM!A:A,TSM!F:F,A17),TSM!A:Q,14,FALSE),"")</f>
        <v/>
      </c>
      <c r="C17" s="114">
        <v>30000.0</v>
      </c>
      <c r="D17" s="129"/>
      <c r="E17" s="113" t="s">
        <v>31</v>
      </c>
      <c r="F17" s="114">
        <f>SUMIFS(TSM!K:K,TSM!E:E,"Loading",TSM!F:F,E17,TSM!A:A,MAXIFS(TSM!A:A,TSM!A:A,TSM!A:A&gt;=F6,TSM!A:A&lt;G6,TSM!F:F,E17))</f>
        <v>0</v>
      </c>
      <c r="G17" s="136"/>
      <c r="H17" s="137"/>
      <c r="I17" s="138"/>
      <c r="J17" s="139"/>
    </row>
    <row r="18">
      <c r="A18" s="113" t="s">
        <v>36</v>
      </c>
      <c r="B18" s="114">
        <f>IFERROR(VLOOKUP(MAXIFS(TSM!A:A,TSM!F:F,A18),TSM!A:Q,14,FALSE),"")</f>
        <v>31086</v>
      </c>
      <c r="C18" s="114">
        <v>38000.0</v>
      </c>
      <c r="D18" s="129"/>
      <c r="E18" s="113" t="s">
        <v>35</v>
      </c>
      <c r="F18" s="114">
        <f>SUMIFS(TSM!K:K,TSM!E:E,"Loading",TSM!F:F,E18,TSM!A:A,MAXIFS(TSM!A:A,TSM!A:A,TSM!A:A&gt;=F7,TSM!A:A&lt;G7,TSM!F:F,E18))</f>
        <v>0</v>
      </c>
      <c r="G18" s="136"/>
      <c r="H18" s="137"/>
      <c r="I18" s="138"/>
      <c r="J18" s="140"/>
    </row>
    <row r="19">
      <c r="A19" s="113" t="s">
        <v>38</v>
      </c>
      <c r="B19" s="114">
        <f>IFERROR(VLOOKUP(MAXIFS(TSM!A:A,TSM!F:F,A19),TSM!A:Q,14,FALSE),"")</f>
        <v>55000</v>
      </c>
      <c r="C19" s="114">
        <v>57000.0</v>
      </c>
      <c r="D19" s="129"/>
      <c r="E19" s="113" t="s">
        <v>36</v>
      </c>
      <c r="F19" s="114">
        <f>SUMIFS(TSM!K:K,TSM!E:E,"Loading",TSM!F:F,E19,TSM!A:A,MAXIFS(TSM!A:A,TSM!A:A,TSM!A:A&gt;=F8,TSM!A:A&lt;G8,TSM!F:F,E19))</f>
        <v>0</v>
      </c>
      <c r="G19" s="136"/>
      <c r="H19" s="137"/>
      <c r="I19" s="138"/>
      <c r="J19" s="141"/>
    </row>
    <row r="20">
      <c r="A20" s="142" t="s">
        <v>60</v>
      </c>
      <c r="B20" s="122">
        <f>SUM(B12:B19)</f>
        <v>277335</v>
      </c>
      <c r="C20" s="143"/>
      <c r="D20" s="129"/>
      <c r="E20" s="113" t="s">
        <v>38</v>
      </c>
      <c r="F20" s="114">
        <f>SUMIFS(TSM!K:K,TSM!E:E,"Loading",TSM!F:F,E20,TSM!A:A,MAXIFS(TSM!A:A,TSM!A:A,TSM!A:A&gt;=F9,TSM!A:A&lt;G9,TSM!F:F,E20))</f>
        <v>0</v>
      </c>
      <c r="G20" s="136"/>
      <c r="H20" s="137"/>
      <c r="I20" s="138"/>
      <c r="J20" s="141"/>
    </row>
    <row r="21">
      <c r="E21" s="144"/>
      <c r="F21" s="145"/>
      <c r="G21" s="141"/>
      <c r="H21" s="141"/>
      <c r="I21" s="141"/>
      <c r="J21" s="141"/>
    </row>
    <row r="22">
      <c r="E22" s="144"/>
      <c r="F22" s="146"/>
      <c r="G22" s="147"/>
      <c r="H22" s="147"/>
      <c r="I22" s="147"/>
      <c r="J22" s="147"/>
    </row>
    <row r="23">
      <c r="E23" s="144"/>
    </row>
    <row r="24">
      <c r="E24" s="144"/>
    </row>
    <row r="25">
      <c r="E25" s="144"/>
    </row>
    <row r="26">
      <c r="E26" s="144"/>
    </row>
    <row r="27">
      <c r="E27" s="144"/>
    </row>
    <row r="28">
      <c r="E28" s="144"/>
    </row>
    <row r="29">
      <c r="E29" s="144"/>
    </row>
    <row r="30">
      <c r="E30" s="144"/>
    </row>
    <row r="31">
      <c r="E31" s="144"/>
    </row>
    <row r="32">
      <c r="E32" s="144"/>
    </row>
    <row r="33">
      <c r="E33" s="144"/>
    </row>
    <row r="34">
      <c r="E34" s="144"/>
    </row>
    <row r="35">
      <c r="E35" s="144"/>
    </row>
    <row r="36">
      <c r="E36" s="144"/>
    </row>
    <row r="37">
      <c r="E37" s="144"/>
    </row>
    <row r="38">
      <c r="E38" s="144"/>
    </row>
    <row r="39">
      <c r="E39" s="144"/>
    </row>
    <row r="40">
      <c r="E40" s="144"/>
    </row>
    <row r="54">
      <c r="E54" s="148" t="s">
        <v>61</v>
      </c>
      <c r="F54" s="16"/>
      <c r="G54" s="16"/>
      <c r="H54" s="16"/>
      <c r="I54" s="16"/>
      <c r="J54" s="16"/>
      <c r="K54" s="18"/>
    </row>
    <row r="55">
      <c r="E55" s="149">
        <f>TODAY()</f>
        <v>45921</v>
      </c>
      <c r="F55" s="16"/>
      <c r="G55" s="16"/>
      <c r="H55" s="16"/>
      <c r="I55" s="16"/>
      <c r="J55" s="16"/>
      <c r="K55" s="18"/>
    </row>
  </sheetData>
  <mergeCells count="9">
    <mergeCell ref="E54:K54"/>
    <mergeCell ref="E55:K55"/>
    <mergeCell ref="B1:C1"/>
    <mergeCell ref="F1:G1"/>
    <mergeCell ref="B2:C2"/>
    <mergeCell ref="A3:E3"/>
    <mergeCell ref="A10:C10"/>
    <mergeCell ref="F11:G11"/>
    <mergeCell ref="H11:I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57"/>
    <col customWidth="1" min="2" max="2" width="13.71"/>
    <col customWidth="1" hidden="1" min="3" max="3" width="12.71"/>
    <col customWidth="1" min="4" max="4" width="13.29"/>
    <col customWidth="1" min="5" max="5" width="18.14"/>
    <col customWidth="1" min="6" max="6" width="18.71"/>
    <col customWidth="1" min="7" max="8" width="19.86"/>
    <col customWidth="1" min="9" max="9" width="20.71"/>
    <col customWidth="1" min="10" max="10" width="19.0"/>
    <col customWidth="1" min="11" max="11" width="14.0"/>
    <col customWidth="1" min="12" max="12" width="14.43"/>
    <col customWidth="1" min="13" max="14" width="21.57"/>
    <col customWidth="1" min="15" max="15" width="21.0"/>
    <col customWidth="1" min="16" max="16" width="14.43"/>
    <col customWidth="1" min="17" max="17" width="21.14"/>
    <col customWidth="1" min="18" max="18" width="21.57"/>
  </cols>
  <sheetData>
    <row r="1">
      <c r="A1" s="150" t="s">
        <v>62</v>
      </c>
      <c r="B1" s="150" t="s">
        <v>63</v>
      </c>
      <c r="C1" s="150" t="s">
        <v>64</v>
      </c>
      <c r="D1" s="151" t="s">
        <v>7</v>
      </c>
      <c r="E1" s="152" t="s">
        <v>65</v>
      </c>
      <c r="F1" s="152" t="s">
        <v>66</v>
      </c>
      <c r="G1" s="150" t="s">
        <v>67</v>
      </c>
      <c r="H1" s="150" t="s">
        <v>55</v>
      </c>
      <c r="I1" s="150" t="s">
        <v>68</v>
      </c>
      <c r="J1" s="150" t="s">
        <v>56</v>
      </c>
      <c r="K1" s="150" t="s">
        <v>69</v>
      </c>
      <c r="L1" s="150" t="s">
        <v>48</v>
      </c>
      <c r="M1" s="151" t="s">
        <v>70</v>
      </c>
      <c r="N1" s="151" t="s">
        <v>71</v>
      </c>
      <c r="O1" s="153" t="s">
        <v>72</v>
      </c>
      <c r="P1" s="150" t="s">
        <v>73</v>
      </c>
      <c r="Q1" s="150" t="s">
        <v>74</v>
      </c>
    </row>
    <row r="2">
      <c r="A2" s="154">
        <v>45903.44634259259</v>
      </c>
      <c r="B2" s="155">
        <v>45903.0</v>
      </c>
      <c r="C2" s="156" t="str">
        <f t="shared" ref="C2:C104" si="1">text(B2,"mmmm")</f>
        <v>September</v>
      </c>
      <c r="D2" s="157" t="s">
        <v>10</v>
      </c>
      <c r="E2" s="157" t="s">
        <v>75</v>
      </c>
      <c r="F2" s="157" t="s">
        <v>22</v>
      </c>
      <c r="G2" s="157">
        <v>10318.0</v>
      </c>
      <c r="H2" s="157">
        <v>761882.0</v>
      </c>
      <c r="I2" s="156">
        <f t="shared" ref="I2:I7" si="2">IF(E2="Loading",H2-G2,H2+G2)</f>
        <v>751564</v>
      </c>
      <c r="J2" s="157">
        <v>751610.0</v>
      </c>
      <c r="K2" s="156">
        <f t="shared" ref="K2:K104" si="3">abs(J2-H2)</f>
        <v>10272</v>
      </c>
      <c r="L2" s="156">
        <f t="shared" ref="L2:L104" si="4">J2-I2</f>
        <v>46</v>
      </c>
      <c r="M2" s="158"/>
      <c r="N2" s="158"/>
      <c r="O2" s="158">
        <f t="shared" ref="O2:O104" si="5">N2-M2</f>
        <v>0</v>
      </c>
      <c r="P2" s="157" t="s">
        <v>76</v>
      </c>
      <c r="Q2" s="159" t="str">
        <f t="shared" ref="Q2:Q104" si="6">iferror(ifs(E:E="Loading","Outflow",or(E:E="Discharge", E:E= "Bowser Transfer"),"Inflow"), "No Data")</f>
        <v>Outflow</v>
      </c>
    </row>
    <row r="3">
      <c r="A3" s="154">
        <v>45903.663402777776</v>
      </c>
      <c r="B3" s="155">
        <v>45903.0</v>
      </c>
      <c r="C3" s="156" t="str">
        <f t="shared" si="1"/>
        <v>September</v>
      </c>
      <c r="D3" s="157" t="s">
        <v>10</v>
      </c>
      <c r="E3" s="157" t="s">
        <v>75</v>
      </c>
      <c r="F3" s="157" t="s">
        <v>22</v>
      </c>
      <c r="G3" s="157">
        <v>29545.0</v>
      </c>
      <c r="H3" s="157">
        <v>751610.0</v>
      </c>
      <c r="I3" s="156">
        <f t="shared" si="2"/>
        <v>722065</v>
      </c>
      <c r="J3" s="157">
        <v>722035.0</v>
      </c>
      <c r="K3" s="156">
        <f t="shared" si="3"/>
        <v>29575</v>
      </c>
      <c r="L3" s="156">
        <f t="shared" si="4"/>
        <v>-30</v>
      </c>
      <c r="M3" s="158"/>
      <c r="N3" s="158"/>
      <c r="O3" s="158">
        <f t="shared" si="5"/>
        <v>0</v>
      </c>
      <c r="P3" s="157" t="s">
        <v>77</v>
      </c>
      <c r="Q3" s="159" t="str">
        <f t="shared" si="6"/>
        <v>Outflow</v>
      </c>
    </row>
    <row r="4">
      <c r="A4" s="154">
        <v>45903.67787037037</v>
      </c>
      <c r="B4" s="155">
        <v>45903.0</v>
      </c>
      <c r="C4" s="156" t="str">
        <f t="shared" si="1"/>
        <v>September</v>
      </c>
      <c r="D4" s="157" t="s">
        <v>10</v>
      </c>
      <c r="E4" s="157" t="s">
        <v>75</v>
      </c>
      <c r="F4" s="157" t="s">
        <v>36</v>
      </c>
      <c r="G4" s="157">
        <v>15350.0</v>
      </c>
      <c r="H4" s="157">
        <v>722035.0</v>
      </c>
      <c r="I4" s="156">
        <f t="shared" si="2"/>
        <v>706685</v>
      </c>
      <c r="J4" s="157">
        <v>706470.0</v>
      </c>
      <c r="K4" s="156">
        <f t="shared" si="3"/>
        <v>15565</v>
      </c>
      <c r="L4" s="156">
        <f t="shared" si="4"/>
        <v>-215</v>
      </c>
      <c r="M4" s="158"/>
      <c r="N4" s="158"/>
      <c r="O4" s="158">
        <f t="shared" si="5"/>
        <v>0</v>
      </c>
      <c r="P4" s="157" t="s">
        <v>76</v>
      </c>
      <c r="Q4" s="159" t="str">
        <f t="shared" si="6"/>
        <v>Outflow</v>
      </c>
    </row>
    <row r="5">
      <c r="A5" s="154">
        <v>45904.197430555556</v>
      </c>
      <c r="B5" s="155">
        <v>45904.0</v>
      </c>
      <c r="C5" s="156" t="str">
        <f t="shared" si="1"/>
        <v>September</v>
      </c>
      <c r="D5" s="157" t="s">
        <v>10</v>
      </c>
      <c r="E5" s="157" t="s">
        <v>75</v>
      </c>
      <c r="F5" s="157" t="s">
        <v>59</v>
      </c>
      <c r="G5" s="157">
        <v>47990.0</v>
      </c>
      <c r="H5" s="157">
        <v>706470.0</v>
      </c>
      <c r="I5" s="156">
        <f t="shared" si="2"/>
        <v>658480</v>
      </c>
      <c r="J5" s="157">
        <v>657907.0</v>
      </c>
      <c r="K5" s="156">
        <f t="shared" si="3"/>
        <v>48563</v>
      </c>
      <c r="L5" s="156">
        <f t="shared" si="4"/>
        <v>-573</v>
      </c>
      <c r="M5" s="158"/>
      <c r="N5" s="158"/>
      <c r="O5" s="158">
        <f t="shared" si="5"/>
        <v>0</v>
      </c>
      <c r="P5" s="157" t="s">
        <v>77</v>
      </c>
      <c r="Q5" s="159" t="str">
        <f t="shared" si="6"/>
        <v>Outflow</v>
      </c>
    </row>
    <row r="6">
      <c r="A6" s="154">
        <v>45904.41326388889</v>
      </c>
      <c r="B6" s="155">
        <v>45904.0</v>
      </c>
      <c r="C6" s="156" t="str">
        <f t="shared" si="1"/>
        <v>September</v>
      </c>
      <c r="D6" s="157" t="s">
        <v>10</v>
      </c>
      <c r="E6" s="157" t="s">
        <v>75</v>
      </c>
      <c r="F6" s="157" t="s">
        <v>22</v>
      </c>
      <c r="G6" s="157">
        <v>32081.0</v>
      </c>
      <c r="H6" s="157">
        <v>657907.0</v>
      </c>
      <c r="I6" s="156">
        <f t="shared" si="2"/>
        <v>625826</v>
      </c>
      <c r="J6" s="157">
        <v>625541.0</v>
      </c>
      <c r="K6" s="156">
        <f t="shared" si="3"/>
        <v>32366</v>
      </c>
      <c r="L6" s="156">
        <f t="shared" si="4"/>
        <v>-285</v>
      </c>
      <c r="M6" s="158"/>
      <c r="N6" s="158"/>
      <c r="O6" s="158">
        <f t="shared" si="5"/>
        <v>0</v>
      </c>
      <c r="P6" s="157" t="s">
        <v>76</v>
      </c>
      <c r="Q6" s="159" t="str">
        <f t="shared" si="6"/>
        <v>Outflow</v>
      </c>
    </row>
    <row r="7">
      <c r="A7" s="154">
        <v>45904.425833333335</v>
      </c>
      <c r="B7" s="155">
        <v>45904.0</v>
      </c>
      <c r="C7" s="156" t="str">
        <f t="shared" si="1"/>
        <v>September</v>
      </c>
      <c r="D7" s="157" t="s">
        <v>10</v>
      </c>
      <c r="E7" s="157" t="s">
        <v>75</v>
      </c>
      <c r="F7" s="157" t="s">
        <v>36</v>
      </c>
      <c r="G7" s="157">
        <v>12500.0</v>
      </c>
      <c r="H7" s="157">
        <v>625541.0</v>
      </c>
      <c r="I7" s="156">
        <f t="shared" si="2"/>
        <v>613041</v>
      </c>
      <c r="J7" s="157">
        <v>613101.0</v>
      </c>
      <c r="K7" s="156">
        <f t="shared" si="3"/>
        <v>12440</v>
      </c>
      <c r="L7" s="156">
        <f t="shared" si="4"/>
        <v>60</v>
      </c>
      <c r="M7" s="158"/>
      <c r="N7" s="158"/>
      <c r="O7" s="158">
        <f t="shared" si="5"/>
        <v>0</v>
      </c>
      <c r="P7" s="157" t="s">
        <v>76</v>
      </c>
      <c r="Q7" s="159" t="str">
        <f t="shared" si="6"/>
        <v>Outflow</v>
      </c>
    </row>
    <row r="8">
      <c r="A8" s="154">
        <v>45904.48778946759</v>
      </c>
      <c r="B8" s="155">
        <v>45903.0</v>
      </c>
      <c r="C8" s="156" t="str">
        <f t="shared" si="1"/>
        <v>September</v>
      </c>
      <c r="D8" s="157" t="s">
        <v>13</v>
      </c>
      <c r="E8" s="157" t="s">
        <v>75</v>
      </c>
      <c r="F8" s="157" t="s">
        <v>36</v>
      </c>
      <c r="G8" s="157">
        <v>28620.0</v>
      </c>
      <c r="H8" s="157">
        <v>35325.0</v>
      </c>
      <c r="I8" s="156">
        <f t="shared" ref="I8:I9" si="7">if(E8="Loading",H8-G8,H8+G8)</f>
        <v>6705</v>
      </c>
      <c r="J8" s="157">
        <v>6664.0</v>
      </c>
      <c r="K8" s="156">
        <f t="shared" si="3"/>
        <v>28661</v>
      </c>
      <c r="L8" s="156">
        <f t="shared" si="4"/>
        <v>-41</v>
      </c>
      <c r="M8" s="158"/>
      <c r="N8" s="158"/>
      <c r="O8" s="158">
        <f t="shared" si="5"/>
        <v>0</v>
      </c>
      <c r="P8" s="157" t="s">
        <v>76</v>
      </c>
      <c r="Q8" s="159" t="str">
        <f t="shared" si="6"/>
        <v>Outflow</v>
      </c>
    </row>
    <row r="9">
      <c r="A9" s="154">
        <v>45904.49286761574</v>
      </c>
      <c r="B9" s="155">
        <v>45903.0</v>
      </c>
      <c r="C9" s="156" t="str">
        <f t="shared" si="1"/>
        <v>September</v>
      </c>
      <c r="D9" s="157" t="s">
        <v>13</v>
      </c>
      <c r="E9" s="157" t="s">
        <v>75</v>
      </c>
      <c r="F9" s="157" t="s">
        <v>22</v>
      </c>
      <c r="G9" s="157">
        <v>6758.0</v>
      </c>
      <c r="H9" s="157">
        <v>6664.0</v>
      </c>
      <c r="I9" s="156">
        <f t="shared" si="7"/>
        <v>-94</v>
      </c>
      <c r="J9" s="157">
        <v>0.0</v>
      </c>
      <c r="K9" s="156">
        <f t="shared" si="3"/>
        <v>6664</v>
      </c>
      <c r="L9" s="156">
        <f t="shared" si="4"/>
        <v>94</v>
      </c>
      <c r="M9" s="158"/>
      <c r="N9" s="158"/>
      <c r="O9" s="158">
        <f t="shared" si="5"/>
        <v>0</v>
      </c>
      <c r="P9" s="157" t="s">
        <v>76</v>
      </c>
      <c r="Q9" s="159" t="str">
        <f t="shared" si="6"/>
        <v>Outflow</v>
      </c>
    </row>
    <row r="10">
      <c r="A10" s="154">
        <v>45904.65219907407</v>
      </c>
      <c r="B10" s="155">
        <v>45904.0</v>
      </c>
      <c r="C10" s="156" t="str">
        <f t="shared" si="1"/>
        <v>September</v>
      </c>
      <c r="D10" s="157" t="s">
        <v>10</v>
      </c>
      <c r="E10" s="157" t="s">
        <v>75</v>
      </c>
      <c r="F10" s="157" t="s">
        <v>22</v>
      </c>
      <c r="G10" s="157">
        <v>28321.0</v>
      </c>
      <c r="H10" s="157">
        <v>613101.0</v>
      </c>
      <c r="I10" s="156">
        <f>IF(E10="Loading",H10-G10,H10+G10)</f>
        <v>584780</v>
      </c>
      <c r="J10" s="157">
        <v>584073.0</v>
      </c>
      <c r="K10" s="156">
        <f t="shared" si="3"/>
        <v>29028</v>
      </c>
      <c r="L10" s="156">
        <f t="shared" si="4"/>
        <v>-707</v>
      </c>
      <c r="M10" s="158"/>
      <c r="N10" s="158"/>
      <c r="O10" s="158">
        <f t="shared" si="5"/>
        <v>0</v>
      </c>
      <c r="P10" s="157" t="s">
        <v>76</v>
      </c>
      <c r="Q10" s="159" t="str">
        <f t="shared" si="6"/>
        <v>Outflow</v>
      </c>
    </row>
    <row r="11">
      <c r="A11" s="154">
        <v>45905.95327612269</v>
      </c>
      <c r="B11" s="155">
        <v>45905.0</v>
      </c>
      <c r="C11" s="156" t="str">
        <f t="shared" si="1"/>
        <v>September</v>
      </c>
      <c r="D11" s="157" t="s">
        <v>13</v>
      </c>
      <c r="E11" s="157" t="s">
        <v>78</v>
      </c>
      <c r="F11" s="157" t="s">
        <v>79</v>
      </c>
      <c r="G11" s="157">
        <v>44910.0</v>
      </c>
      <c r="H11" s="157">
        <v>0.0</v>
      </c>
      <c r="I11" s="156">
        <f t="shared" ref="I11:I19" si="8">if(E11="Loading",H11-G11,H11+G11)</f>
        <v>44910</v>
      </c>
      <c r="J11" s="157">
        <v>45409.0</v>
      </c>
      <c r="K11" s="156">
        <f t="shared" si="3"/>
        <v>45409</v>
      </c>
      <c r="L11" s="156">
        <f t="shared" si="4"/>
        <v>499</v>
      </c>
      <c r="M11" s="158"/>
      <c r="N11" s="158"/>
      <c r="O11" s="158">
        <f t="shared" si="5"/>
        <v>0</v>
      </c>
      <c r="P11" s="157" t="s">
        <v>80</v>
      </c>
      <c r="Q11" s="159" t="str">
        <f t="shared" si="6"/>
        <v>Inflow</v>
      </c>
    </row>
    <row r="12">
      <c r="A12" s="154">
        <v>45905.95424071759</v>
      </c>
      <c r="B12" s="155">
        <v>45905.0</v>
      </c>
      <c r="C12" s="156" t="str">
        <f t="shared" si="1"/>
        <v>September</v>
      </c>
      <c r="D12" s="157" t="s">
        <v>13</v>
      </c>
      <c r="E12" s="157" t="s">
        <v>78</v>
      </c>
      <c r="F12" s="157" t="s">
        <v>81</v>
      </c>
      <c r="G12" s="157">
        <v>44900.0</v>
      </c>
      <c r="H12" s="157">
        <v>45409.0</v>
      </c>
      <c r="I12" s="156">
        <f t="shared" si="8"/>
        <v>90309</v>
      </c>
      <c r="J12" s="157">
        <v>90844.0</v>
      </c>
      <c r="K12" s="156">
        <f t="shared" si="3"/>
        <v>45435</v>
      </c>
      <c r="L12" s="156">
        <f t="shared" si="4"/>
        <v>535</v>
      </c>
      <c r="M12" s="158"/>
      <c r="N12" s="158"/>
      <c r="O12" s="158">
        <f t="shared" si="5"/>
        <v>0</v>
      </c>
      <c r="P12" s="157" t="s">
        <v>82</v>
      </c>
      <c r="Q12" s="159" t="str">
        <f t="shared" si="6"/>
        <v>Inflow</v>
      </c>
    </row>
    <row r="13">
      <c r="A13" s="154">
        <v>45905.95512831019</v>
      </c>
      <c r="B13" s="155">
        <v>45905.0</v>
      </c>
      <c r="C13" s="156" t="str">
        <f t="shared" si="1"/>
        <v>September</v>
      </c>
      <c r="D13" s="157" t="s">
        <v>13</v>
      </c>
      <c r="E13" s="157" t="s">
        <v>78</v>
      </c>
      <c r="F13" s="157" t="s">
        <v>83</v>
      </c>
      <c r="G13" s="157">
        <v>39930.0</v>
      </c>
      <c r="H13" s="157">
        <v>90844.0</v>
      </c>
      <c r="I13" s="156">
        <f t="shared" si="8"/>
        <v>130774</v>
      </c>
      <c r="J13" s="157">
        <v>130189.0</v>
      </c>
      <c r="K13" s="156">
        <f t="shared" si="3"/>
        <v>39345</v>
      </c>
      <c r="L13" s="156">
        <f t="shared" si="4"/>
        <v>-585</v>
      </c>
      <c r="M13" s="158"/>
      <c r="N13" s="158"/>
      <c r="O13" s="158">
        <f t="shared" si="5"/>
        <v>0</v>
      </c>
      <c r="P13" s="157" t="s">
        <v>82</v>
      </c>
      <c r="Q13" s="159" t="str">
        <f t="shared" si="6"/>
        <v>Inflow</v>
      </c>
    </row>
    <row r="14">
      <c r="A14" s="154">
        <v>45905.95604160879</v>
      </c>
      <c r="B14" s="155">
        <v>45905.0</v>
      </c>
      <c r="C14" s="156" t="str">
        <f t="shared" si="1"/>
        <v>September</v>
      </c>
      <c r="D14" s="157" t="s">
        <v>13</v>
      </c>
      <c r="E14" s="157" t="s">
        <v>78</v>
      </c>
      <c r="F14" s="157" t="s">
        <v>84</v>
      </c>
      <c r="G14" s="157">
        <v>44880.0</v>
      </c>
      <c r="H14" s="157">
        <v>130189.0</v>
      </c>
      <c r="I14" s="156">
        <f t="shared" si="8"/>
        <v>175069</v>
      </c>
      <c r="J14" s="157">
        <v>175612.0</v>
      </c>
      <c r="K14" s="156">
        <f t="shared" si="3"/>
        <v>45423</v>
      </c>
      <c r="L14" s="156">
        <f t="shared" si="4"/>
        <v>543</v>
      </c>
      <c r="M14" s="158"/>
      <c r="N14" s="158"/>
      <c r="O14" s="158">
        <f t="shared" si="5"/>
        <v>0</v>
      </c>
      <c r="P14" s="157" t="s">
        <v>76</v>
      </c>
      <c r="Q14" s="159" t="str">
        <f t="shared" si="6"/>
        <v>Inflow</v>
      </c>
    </row>
    <row r="15">
      <c r="A15" s="154">
        <v>45905.95708886574</v>
      </c>
      <c r="B15" s="155">
        <v>45905.0</v>
      </c>
      <c r="C15" s="156" t="str">
        <f t="shared" si="1"/>
        <v>September</v>
      </c>
      <c r="D15" s="157" t="s">
        <v>13</v>
      </c>
      <c r="E15" s="157" t="s">
        <v>78</v>
      </c>
      <c r="F15" s="157" t="s">
        <v>85</v>
      </c>
      <c r="G15" s="157">
        <v>44930.0</v>
      </c>
      <c r="H15" s="157">
        <v>175612.0</v>
      </c>
      <c r="I15" s="156">
        <f t="shared" si="8"/>
        <v>220542</v>
      </c>
      <c r="J15" s="157">
        <v>220628.0</v>
      </c>
      <c r="K15" s="156">
        <f t="shared" si="3"/>
        <v>45016</v>
      </c>
      <c r="L15" s="156">
        <f t="shared" si="4"/>
        <v>86</v>
      </c>
      <c r="M15" s="158"/>
      <c r="N15" s="158"/>
      <c r="O15" s="158">
        <f t="shared" si="5"/>
        <v>0</v>
      </c>
      <c r="P15" s="157" t="s">
        <v>76</v>
      </c>
      <c r="Q15" s="159" t="str">
        <f t="shared" si="6"/>
        <v>Inflow</v>
      </c>
    </row>
    <row r="16">
      <c r="A16" s="154">
        <v>45905.958537557875</v>
      </c>
      <c r="B16" s="155">
        <v>45905.0</v>
      </c>
      <c r="C16" s="156" t="str">
        <f t="shared" si="1"/>
        <v>September</v>
      </c>
      <c r="D16" s="157" t="s">
        <v>13</v>
      </c>
      <c r="E16" s="157" t="s">
        <v>78</v>
      </c>
      <c r="F16" s="157" t="s">
        <v>86</v>
      </c>
      <c r="G16" s="157">
        <v>44910.0</v>
      </c>
      <c r="H16" s="157">
        <v>220628.0</v>
      </c>
      <c r="I16" s="156">
        <f t="shared" si="8"/>
        <v>265538</v>
      </c>
      <c r="J16" s="157">
        <v>265540.0</v>
      </c>
      <c r="K16" s="156">
        <f t="shared" si="3"/>
        <v>44912</v>
      </c>
      <c r="L16" s="156">
        <f t="shared" si="4"/>
        <v>2</v>
      </c>
      <c r="M16" s="158"/>
      <c r="N16" s="158"/>
      <c r="O16" s="158">
        <f t="shared" si="5"/>
        <v>0</v>
      </c>
      <c r="P16" s="157" t="s">
        <v>77</v>
      </c>
      <c r="Q16" s="159" t="str">
        <f t="shared" si="6"/>
        <v>Inflow</v>
      </c>
    </row>
    <row r="17">
      <c r="A17" s="154">
        <v>45905.98246857639</v>
      </c>
      <c r="B17" s="155">
        <v>45905.0</v>
      </c>
      <c r="C17" s="156" t="str">
        <f t="shared" si="1"/>
        <v>September</v>
      </c>
      <c r="D17" s="157" t="s">
        <v>13</v>
      </c>
      <c r="E17" s="157" t="s">
        <v>78</v>
      </c>
      <c r="F17" s="157" t="s">
        <v>87</v>
      </c>
      <c r="G17" s="157">
        <v>44900.0</v>
      </c>
      <c r="H17" s="157">
        <v>265540.0</v>
      </c>
      <c r="I17" s="156">
        <f t="shared" si="8"/>
        <v>310440</v>
      </c>
      <c r="J17" s="157">
        <v>310349.0</v>
      </c>
      <c r="K17" s="156">
        <f t="shared" si="3"/>
        <v>44809</v>
      </c>
      <c r="L17" s="156">
        <f t="shared" si="4"/>
        <v>-91</v>
      </c>
      <c r="M17" s="158"/>
      <c r="N17" s="158"/>
      <c r="O17" s="158">
        <f t="shared" si="5"/>
        <v>0</v>
      </c>
      <c r="P17" s="157" t="s">
        <v>77</v>
      </c>
      <c r="Q17" s="159" t="str">
        <f t="shared" si="6"/>
        <v>Inflow</v>
      </c>
    </row>
    <row r="18">
      <c r="A18" s="154">
        <v>45906.03527278935</v>
      </c>
      <c r="B18" s="155">
        <v>45905.0</v>
      </c>
      <c r="C18" s="156" t="str">
        <f t="shared" si="1"/>
        <v>September</v>
      </c>
      <c r="D18" s="157" t="s">
        <v>13</v>
      </c>
      <c r="E18" s="157" t="s">
        <v>78</v>
      </c>
      <c r="F18" s="157" t="s">
        <v>88</v>
      </c>
      <c r="G18" s="157">
        <v>44900.0</v>
      </c>
      <c r="H18" s="157">
        <v>310349.0</v>
      </c>
      <c r="I18" s="156">
        <f t="shared" si="8"/>
        <v>355249</v>
      </c>
      <c r="J18" s="157">
        <v>354961.0</v>
      </c>
      <c r="K18" s="156">
        <f t="shared" si="3"/>
        <v>44612</v>
      </c>
      <c r="L18" s="156">
        <f t="shared" si="4"/>
        <v>-288</v>
      </c>
      <c r="M18" s="158"/>
      <c r="N18" s="158"/>
      <c r="O18" s="158">
        <f t="shared" si="5"/>
        <v>0</v>
      </c>
      <c r="P18" s="157" t="s">
        <v>77</v>
      </c>
      <c r="Q18" s="159" t="str">
        <f t="shared" si="6"/>
        <v>Inflow</v>
      </c>
    </row>
    <row r="19">
      <c r="A19" s="154">
        <v>45906.12240944445</v>
      </c>
      <c r="B19" s="155">
        <v>45905.0</v>
      </c>
      <c r="C19" s="156" t="str">
        <f t="shared" si="1"/>
        <v>September</v>
      </c>
      <c r="D19" s="157" t="s">
        <v>13</v>
      </c>
      <c r="E19" s="157" t="s">
        <v>78</v>
      </c>
      <c r="F19" s="157" t="s">
        <v>89</v>
      </c>
      <c r="G19" s="157">
        <v>44900.0</v>
      </c>
      <c r="H19" s="157">
        <v>354961.0</v>
      </c>
      <c r="I19" s="156">
        <f t="shared" si="8"/>
        <v>399861</v>
      </c>
      <c r="J19" s="157">
        <v>400097.0</v>
      </c>
      <c r="K19" s="156">
        <f t="shared" si="3"/>
        <v>45136</v>
      </c>
      <c r="L19" s="156">
        <f t="shared" si="4"/>
        <v>236</v>
      </c>
      <c r="M19" s="158"/>
      <c r="N19" s="158"/>
      <c r="O19" s="158">
        <f t="shared" si="5"/>
        <v>0</v>
      </c>
      <c r="P19" s="157" t="s">
        <v>77</v>
      </c>
      <c r="Q19" s="159" t="str">
        <f t="shared" si="6"/>
        <v>Inflow</v>
      </c>
    </row>
    <row r="20">
      <c r="A20" s="154">
        <v>45906.15311564815</v>
      </c>
      <c r="B20" s="155">
        <v>45905.0</v>
      </c>
      <c r="C20" s="156" t="str">
        <f t="shared" si="1"/>
        <v>September</v>
      </c>
      <c r="D20" s="157" t="s">
        <v>10</v>
      </c>
      <c r="E20" s="157" t="s">
        <v>75</v>
      </c>
      <c r="F20" s="157" t="s">
        <v>22</v>
      </c>
      <c r="G20" s="157">
        <v>26524.0</v>
      </c>
      <c r="H20" s="157">
        <v>581896.0</v>
      </c>
      <c r="I20" s="156">
        <f t="shared" ref="I20:I25" si="9">IF(E20="Loading",H20-G20,H20+G20)</f>
        <v>555372</v>
      </c>
      <c r="J20" s="157">
        <v>555150.0</v>
      </c>
      <c r="K20" s="156">
        <f t="shared" si="3"/>
        <v>26746</v>
      </c>
      <c r="L20" s="156">
        <f t="shared" si="4"/>
        <v>-222</v>
      </c>
      <c r="M20" s="158"/>
      <c r="N20" s="158"/>
      <c r="O20" s="158">
        <f t="shared" si="5"/>
        <v>0</v>
      </c>
      <c r="P20" s="157" t="s">
        <v>80</v>
      </c>
      <c r="Q20" s="159" t="str">
        <f t="shared" si="6"/>
        <v>Outflow</v>
      </c>
    </row>
    <row r="21">
      <c r="A21" s="154">
        <v>45906.15418841435</v>
      </c>
      <c r="B21" s="155">
        <v>45905.0</v>
      </c>
      <c r="C21" s="156" t="str">
        <f t="shared" si="1"/>
        <v>September</v>
      </c>
      <c r="D21" s="157" t="s">
        <v>10</v>
      </c>
      <c r="E21" s="157" t="s">
        <v>75</v>
      </c>
      <c r="F21" s="157" t="s">
        <v>36</v>
      </c>
      <c r="G21" s="157">
        <v>14120.0</v>
      </c>
      <c r="H21" s="157">
        <v>555150.0</v>
      </c>
      <c r="I21" s="156">
        <f t="shared" si="9"/>
        <v>541030</v>
      </c>
      <c r="J21" s="157">
        <v>541880.0</v>
      </c>
      <c r="K21" s="156">
        <f t="shared" si="3"/>
        <v>13270</v>
      </c>
      <c r="L21" s="156">
        <f t="shared" si="4"/>
        <v>850</v>
      </c>
      <c r="M21" s="158"/>
      <c r="N21" s="158"/>
      <c r="O21" s="158">
        <f t="shared" si="5"/>
        <v>0</v>
      </c>
      <c r="P21" s="157" t="s">
        <v>80</v>
      </c>
      <c r="Q21" s="159" t="str">
        <f t="shared" si="6"/>
        <v>Outflow</v>
      </c>
    </row>
    <row r="22">
      <c r="A22" s="154">
        <v>45906.154997245365</v>
      </c>
      <c r="B22" s="155">
        <v>45905.0</v>
      </c>
      <c r="C22" s="156" t="str">
        <f t="shared" si="1"/>
        <v>September</v>
      </c>
      <c r="D22" s="157" t="s">
        <v>10</v>
      </c>
      <c r="E22" s="157" t="s">
        <v>75</v>
      </c>
      <c r="F22" s="157" t="s">
        <v>22</v>
      </c>
      <c r="G22" s="157">
        <v>32618.0</v>
      </c>
      <c r="H22" s="157">
        <v>541880.0</v>
      </c>
      <c r="I22" s="156">
        <f t="shared" si="9"/>
        <v>509262</v>
      </c>
      <c r="J22" s="157">
        <v>509224.0</v>
      </c>
      <c r="K22" s="156">
        <f t="shared" si="3"/>
        <v>32656</v>
      </c>
      <c r="L22" s="156">
        <f t="shared" si="4"/>
        <v>-38</v>
      </c>
      <c r="M22" s="158"/>
      <c r="N22" s="158"/>
      <c r="O22" s="158">
        <f t="shared" si="5"/>
        <v>0</v>
      </c>
      <c r="P22" s="157" t="s">
        <v>80</v>
      </c>
      <c r="Q22" s="159" t="str">
        <f t="shared" si="6"/>
        <v>Outflow</v>
      </c>
    </row>
    <row r="23">
      <c r="A23" s="154">
        <v>45906.15610908565</v>
      </c>
      <c r="B23" s="155">
        <v>45905.0</v>
      </c>
      <c r="C23" s="156" t="str">
        <f t="shared" si="1"/>
        <v>September</v>
      </c>
      <c r="D23" s="157" t="s">
        <v>10</v>
      </c>
      <c r="E23" s="157" t="s">
        <v>75</v>
      </c>
      <c r="F23" s="157" t="s">
        <v>36</v>
      </c>
      <c r="G23" s="157">
        <v>29540.0</v>
      </c>
      <c r="H23" s="157">
        <v>509224.0</v>
      </c>
      <c r="I23" s="156">
        <f t="shared" si="9"/>
        <v>479684</v>
      </c>
      <c r="J23" s="157">
        <v>479367.0</v>
      </c>
      <c r="K23" s="156">
        <f t="shared" si="3"/>
        <v>29857</v>
      </c>
      <c r="L23" s="156">
        <f t="shared" si="4"/>
        <v>-317</v>
      </c>
      <c r="M23" s="158"/>
      <c r="N23" s="158"/>
      <c r="O23" s="158">
        <f t="shared" si="5"/>
        <v>0</v>
      </c>
      <c r="P23" s="157" t="s">
        <v>77</v>
      </c>
      <c r="Q23" s="159" t="str">
        <f t="shared" si="6"/>
        <v>Outflow</v>
      </c>
    </row>
    <row r="24">
      <c r="A24" s="154">
        <v>45906.83074881944</v>
      </c>
      <c r="B24" s="155">
        <v>45906.0</v>
      </c>
      <c r="C24" s="156" t="str">
        <f t="shared" si="1"/>
        <v>September</v>
      </c>
      <c r="D24" s="157" t="s">
        <v>10</v>
      </c>
      <c r="E24" s="157" t="s">
        <v>75</v>
      </c>
      <c r="F24" s="157" t="s">
        <v>22</v>
      </c>
      <c r="G24" s="157">
        <v>26016.0</v>
      </c>
      <c r="H24" s="157">
        <v>479367.0</v>
      </c>
      <c r="I24" s="156">
        <f t="shared" si="9"/>
        <v>453351</v>
      </c>
      <c r="J24" s="157">
        <v>453359.0</v>
      </c>
      <c r="K24" s="156">
        <f t="shared" si="3"/>
        <v>26008</v>
      </c>
      <c r="L24" s="156">
        <f t="shared" si="4"/>
        <v>8</v>
      </c>
      <c r="M24" s="158"/>
      <c r="N24" s="158"/>
      <c r="O24" s="158">
        <f t="shared" si="5"/>
        <v>0</v>
      </c>
      <c r="P24" s="157" t="s">
        <v>82</v>
      </c>
      <c r="Q24" s="159" t="str">
        <f t="shared" si="6"/>
        <v>Outflow</v>
      </c>
    </row>
    <row r="25">
      <c r="A25" s="154">
        <v>45906.83189854167</v>
      </c>
      <c r="B25" s="155">
        <v>45906.0</v>
      </c>
      <c r="C25" s="156" t="str">
        <f t="shared" si="1"/>
        <v>September</v>
      </c>
      <c r="D25" s="157" t="s">
        <v>10</v>
      </c>
      <c r="E25" s="157" t="s">
        <v>75</v>
      </c>
      <c r="F25" s="157" t="s">
        <v>36</v>
      </c>
      <c r="G25" s="157">
        <v>18010.0</v>
      </c>
      <c r="H25" s="157">
        <v>453359.0</v>
      </c>
      <c r="I25" s="156">
        <f t="shared" si="9"/>
        <v>435349</v>
      </c>
      <c r="J25" s="157">
        <v>435537.0</v>
      </c>
      <c r="K25" s="156">
        <f t="shared" si="3"/>
        <v>17822</v>
      </c>
      <c r="L25" s="156">
        <f t="shared" si="4"/>
        <v>188</v>
      </c>
      <c r="M25" s="158"/>
      <c r="N25" s="158"/>
      <c r="O25" s="158">
        <f t="shared" si="5"/>
        <v>0</v>
      </c>
      <c r="P25" s="157" t="s">
        <v>82</v>
      </c>
      <c r="Q25" s="159" t="str">
        <f t="shared" si="6"/>
        <v>Outflow</v>
      </c>
    </row>
    <row r="26">
      <c r="A26" s="154">
        <v>45906.9832719213</v>
      </c>
      <c r="B26" s="155">
        <v>45906.0</v>
      </c>
      <c r="C26" s="156" t="str">
        <f t="shared" si="1"/>
        <v>September</v>
      </c>
      <c r="D26" s="157" t="s">
        <v>13</v>
      </c>
      <c r="E26" s="157" t="s">
        <v>78</v>
      </c>
      <c r="F26" s="157" t="s">
        <v>90</v>
      </c>
      <c r="G26" s="157">
        <v>44840.0</v>
      </c>
      <c r="H26" s="157">
        <v>445440.0</v>
      </c>
      <c r="I26" s="156">
        <f t="shared" ref="I26:I104" si="10">if(E26="Loading",H26-G26,H26+G26)</f>
        <v>490280</v>
      </c>
      <c r="J26" s="157">
        <v>489547.0</v>
      </c>
      <c r="K26" s="156">
        <f t="shared" si="3"/>
        <v>44107</v>
      </c>
      <c r="L26" s="156">
        <f t="shared" si="4"/>
        <v>-733</v>
      </c>
      <c r="M26" s="158"/>
      <c r="N26" s="158"/>
      <c r="O26" s="158">
        <f t="shared" si="5"/>
        <v>0</v>
      </c>
      <c r="P26" s="157" t="s">
        <v>82</v>
      </c>
      <c r="Q26" s="159" t="str">
        <f t="shared" si="6"/>
        <v>Inflow</v>
      </c>
    </row>
    <row r="27">
      <c r="A27" s="154">
        <v>45906.9867652199</v>
      </c>
      <c r="B27" s="155">
        <v>45906.0</v>
      </c>
      <c r="C27" s="156" t="str">
        <f t="shared" si="1"/>
        <v>September</v>
      </c>
      <c r="D27" s="157" t="s">
        <v>13</v>
      </c>
      <c r="E27" s="157" t="s">
        <v>78</v>
      </c>
      <c r="F27" s="157" t="s">
        <v>91</v>
      </c>
      <c r="G27" s="157">
        <v>44710.0</v>
      </c>
      <c r="H27" s="157">
        <v>489547.0</v>
      </c>
      <c r="I27" s="156">
        <f t="shared" si="10"/>
        <v>534257</v>
      </c>
      <c r="J27" s="157">
        <v>534353.0</v>
      </c>
      <c r="K27" s="156">
        <f t="shared" si="3"/>
        <v>44806</v>
      </c>
      <c r="L27" s="156">
        <f t="shared" si="4"/>
        <v>96</v>
      </c>
      <c r="M27" s="158"/>
      <c r="N27" s="158"/>
      <c r="O27" s="158">
        <f t="shared" si="5"/>
        <v>0</v>
      </c>
      <c r="P27" s="157" t="s">
        <v>82</v>
      </c>
      <c r="Q27" s="159" t="str">
        <f t="shared" si="6"/>
        <v>Inflow</v>
      </c>
    </row>
    <row r="28">
      <c r="A28" s="154">
        <v>45906.9880784375</v>
      </c>
      <c r="B28" s="155">
        <v>45906.0</v>
      </c>
      <c r="C28" s="156" t="str">
        <f t="shared" si="1"/>
        <v>September</v>
      </c>
      <c r="D28" s="157" t="s">
        <v>13</v>
      </c>
      <c r="E28" s="157" t="s">
        <v>78</v>
      </c>
      <c r="F28" s="157" t="s">
        <v>92</v>
      </c>
      <c r="G28" s="157">
        <v>44830.0</v>
      </c>
      <c r="H28" s="157">
        <v>534353.0</v>
      </c>
      <c r="I28" s="156">
        <f t="shared" si="10"/>
        <v>579183</v>
      </c>
      <c r="J28" s="157">
        <v>579603.0</v>
      </c>
      <c r="K28" s="156">
        <f t="shared" si="3"/>
        <v>45250</v>
      </c>
      <c r="L28" s="156">
        <f t="shared" si="4"/>
        <v>420</v>
      </c>
      <c r="M28" s="158"/>
      <c r="N28" s="158"/>
      <c r="O28" s="158">
        <f t="shared" si="5"/>
        <v>0</v>
      </c>
      <c r="P28" s="157" t="s">
        <v>82</v>
      </c>
      <c r="Q28" s="159" t="str">
        <f t="shared" si="6"/>
        <v>Inflow</v>
      </c>
    </row>
    <row r="29">
      <c r="A29" s="154">
        <v>45906.98933898148</v>
      </c>
      <c r="B29" s="155">
        <v>45906.0</v>
      </c>
      <c r="C29" s="156" t="str">
        <f t="shared" si="1"/>
        <v>September</v>
      </c>
      <c r="D29" s="157" t="s">
        <v>10</v>
      </c>
      <c r="E29" s="157" t="s">
        <v>78</v>
      </c>
      <c r="F29" s="157" t="s">
        <v>93</v>
      </c>
      <c r="G29" s="157">
        <v>39900.0</v>
      </c>
      <c r="H29" s="157">
        <v>435537.0</v>
      </c>
      <c r="I29" s="156">
        <f t="shared" si="10"/>
        <v>475437</v>
      </c>
      <c r="J29" s="157">
        <v>475741.0</v>
      </c>
      <c r="K29" s="156">
        <f t="shared" si="3"/>
        <v>40204</v>
      </c>
      <c r="L29" s="156">
        <f t="shared" si="4"/>
        <v>304</v>
      </c>
      <c r="M29" s="158"/>
      <c r="N29" s="158"/>
      <c r="O29" s="158">
        <f t="shared" si="5"/>
        <v>0</v>
      </c>
      <c r="P29" s="157" t="s">
        <v>82</v>
      </c>
      <c r="Q29" s="159" t="str">
        <f t="shared" si="6"/>
        <v>Inflow</v>
      </c>
    </row>
    <row r="30">
      <c r="A30" s="154">
        <v>45907.17284699074</v>
      </c>
      <c r="B30" s="155">
        <v>45906.0</v>
      </c>
      <c r="C30" s="156" t="str">
        <f t="shared" si="1"/>
        <v>September</v>
      </c>
      <c r="D30" s="157" t="s">
        <v>10</v>
      </c>
      <c r="E30" s="157" t="s">
        <v>78</v>
      </c>
      <c r="F30" s="157" t="s">
        <v>81</v>
      </c>
      <c r="G30" s="157">
        <v>44850.0</v>
      </c>
      <c r="H30" s="157">
        <v>475741.0</v>
      </c>
      <c r="I30" s="156">
        <f t="shared" si="10"/>
        <v>520591</v>
      </c>
      <c r="J30" s="157">
        <v>519902.0</v>
      </c>
      <c r="K30" s="156">
        <f t="shared" si="3"/>
        <v>44161</v>
      </c>
      <c r="L30" s="156">
        <f t="shared" si="4"/>
        <v>-689</v>
      </c>
      <c r="M30" s="158"/>
      <c r="N30" s="158"/>
      <c r="O30" s="158">
        <f t="shared" si="5"/>
        <v>0</v>
      </c>
      <c r="P30" s="157" t="s">
        <v>77</v>
      </c>
      <c r="Q30" s="159" t="str">
        <f t="shared" si="6"/>
        <v>Inflow</v>
      </c>
    </row>
    <row r="31">
      <c r="A31" s="154">
        <v>45907.17419016204</v>
      </c>
      <c r="B31" s="155">
        <v>45906.0</v>
      </c>
      <c r="C31" s="156" t="str">
        <f t="shared" si="1"/>
        <v>September</v>
      </c>
      <c r="D31" s="157" t="s">
        <v>10</v>
      </c>
      <c r="E31" s="157" t="s">
        <v>78</v>
      </c>
      <c r="F31" s="157" t="s">
        <v>90</v>
      </c>
      <c r="G31" s="157">
        <v>44900.0</v>
      </c>
      <c r="H31" s="157">
        <v>519902.0</v>
      </c>
      <c r="I31" s="156">
        <f t="shared" si="10"/>
        <v>564802</v>
      </c>
      <c r="J31" s="157">
        <v>564583.0</v>
      </c>
      <c r="K31" s="156">
        <f t="shared" si="3"/>
        <v>44681</v>
      </c>
      <c r="L31" s="156">
        <f t="shared" si="4"/>
        <v>-219</v>
      </c>
      <c r="M31" s="158"/>
      <c r="N31" s="158"/>
      <c r="O31" s="158">
        <f t="shared" si="5"/>
        <v>0</v>
      </c>
      <c r="P31" s="157" t="s">
        <v>76</v>
      </c>
      <c r="Q31" s="159" t="str">
        <f t="shared" si="6"/>
        <v>Inflow</v>
      </c>
    </row>
    <row r="32">
      <c r="A32" s="154">
        <v>45907.217310844906</v>
      </c>
      <c r="B32" s="155">
        <v>45906.0</v>
      </c>
      <c r="C32" s="156" t="str">
        <f t="shared" si="1"/>
        <v>September</v>
      </c>
      <c r="D32" s="157" t="s">
        <v>10</v>
      </c>
      <c r="E32" s="157" t="s">
        <v>78</v>
      </c>
      <c r="F32" s="157" t="s">
        <v>79</v>
      </c>
      <c r="G32" s="157">
        <v>44910.0</v>
      </c>
      <c r="H32" s="157">
        <v>564583.0</v>
      </c>
      <c r="I32" s="156">
        <f t="shared" si="10"/>
        <v>609493</v>
      </c>
      <c r="J32" s="157">
        <v>609473.0</v>
      </c>
      <c r="K32" s="156">
        <f t="shared" si="3"/>
        <v>44890</v>
      </c>
      <c r="L32" s="156">
        <f t="shared" si="4"/>
        <v>-20</v>
      </c>
      <c r="M32" s="158"/>
      <c r="N32" s="158"/>
      <c r="O32" s="158">
        <f t="shared" si="5"/>
        <v>0</v>
      </c>
      <c r="P32" s="157" t="s">
        <v>77</v>
      </c>
      <c r="Q32" s="159" t="str">
        <f t="shared" si="6"/>
        <v>Inflow</v>
      </c>
    </row>
    <row r="33">
      <c r="A33" s="154">
        <v>45909.90931012732</v>
      </c>
      <c r="B33" s="155">
        <v>45907.0</v>
      </c>
      <c r="C33" s="156" t="str">
        <f t="shared" si="1"/>
        <v>September</v>
      </c>
      <c r="D33" s="157" t="s">
        <v>10</v>
      </c>
      <c r="E33" s="157" t="s">
        <v>78</v>
      </c>
      <c r="F33" s="157" t="s">
        <v>88</v>
      </c>
      <c r="G33" s="157">
        <v>40890.0</v>
      </c>
      <c r="H33" s="157">
        <v>609473.0</v>
      </c>
      <c r="I33" s="156">
        <f t="shared" si="10"/>
        <v>650363</v>
      </c>
      <c r="J33" s="157">
        <v>650435.0</v>
      </c>
      <c r="K33" s="156">
        <f t="shared" si="3"/>
        <v>40962</v>
      </c>
      <c r="L33" s="156">
        <f t="shared" si="4"/>
        <v>72</v>
      </c>
      <c r="M33" s="158"/>
      <c r="N33" s="158"/>
      <c r="O33" s="158">
        <f t="shared" si="5"/>
        <v>0</v>
      </c>
      <c r="P33" s="157" t="s">
        <v>94</v>
      </c>
      <c r="Q33" s="159" t="str">
        <f t="shared" si="6"/>
        <v>Inflow</v>
      </c>
    </row>
    <row r="34">
      <c r="A34" s="154">
        <v>45909.91237359954</v>
      </c>
      <c r="B34" s="155">
        <v>45907.0</v>
      </c>
      <c r="C34" s="156" t="str">
        <f t="shared" si="1"/>
        <v>September</v>
      </c>
      <c r="D34" s="157" t="s">
        <v>10</v>
      </c>
      <c r="E34" s="157" t="s">
        <v>75</v>
      </c>
      <c r="F34" s="157" t="s">
        <v>36</v>
      </c>
      <c r="G34" s="157">
        <v>13560.0</v>
      </c>
      <c r="H34" s="157">
        <v>650435.0</v>
      </c>
      <c r="I34" s="156">
        <f t="shared" si="10"/>
        <v>636875</v>
      </c>
      <c r="J34" s="157">
        <v>636634.0</v>
      </c>
      <c r="K34" s="156">
        <f t="shared" si="3"/>
        <v>13801</v>
      </c>
      <c r="L34" s="156">
        <f t="shared" si="4"/>
        <v>-241</v>
      </c>
      <c r="M34" s="158"/>
      <c r="N34" s="158"/>
      <c r="O34" s="158">
        <f t="shared" si="5"/>
        <v>0</v>
      </c>
      <c r="P34" s="157" t="s">
        <v>94</v>
      </c>
      <c r="Q34" s="159" t="str">
        <f t="shared" si="6"/>
        <v>Outflow</v>
      </c>
    </row>
    <row r="35">
      <c r="A35" s="154">
        <v>45909.915909131945</v>
      </c>
      <c r="B35" s="155">
        <v>45907.0</v>
      </c>
      <c r="C35" s="156" t="str">
        <f t="shared" si="1"/>
        <v>September</v>
      </c>
      <c r="D35" s="157" t="s">
        <v>10</v>
      </c>
      <c r="E35" s="157" t="s">
        <v>75</v>
      </c>
      <c r="F35" s="157" t="s">
        <v>22</v>
      </c>
      <c r="G35" s="157">
        <v>31019.0</v>
      </c>
      <c r="H35" s="157">
        <v>636634.0</v>
      </c>
      <c r="I35" s="156">
        <f t="shared" si="10"/>
        <v>605615</v>
      </c>
      <c r="J35" s="157">
        <v>605637.0</v>
      </c>
      <c r="K35" s="156">
        <f t="shared" si="3"/>
        <v>30997</v>
      </c>
      <c r="L35" s="156">
        <f t="shared" si="4"/>
        <v>22</v>
      </c>
      <c r="M35" s="158"/>
      <c r="N35" s="158"/>
      <c r="O35" s="158">
        <f t="shared" si="5"/>
        <v>0</v>
      </c>
      <c r="P35" s="157" t="s">
        <v>94</v>
      </c>
      <c r="Q35" s="159" t="str">
        <f t="shared" si="6"/>
        <v>Outflow</v>
      </c>
    </row>
    <row r="36">
      <c r="A36" s="154">
        <v>45909.917992835646</v>
      </c>
      <c r="B36" s="155">
        <v>45907.0</v>
      </c>
      <c r="C36" s="156" t="str">
        <f t="shared" si="1"/>
        <v>September</v>
      </c>
      <c r="D36" s="157" t="s">
        <v>10</v>
      </c>
      <c r="E36" s="157" t="s">
        <v>75</v>
      </c>
      <c r="F36" s="157" t="s">
        <v>22</v>
      </c>
      <c r="G36" s="157">
        <v>31012.0</v>
      </c>
      <c r="H36" s="157">
        <v>605637.0</v>
      </c>
      <c r="I36" s="156">
        <f t="shared" si="10"/>
        <v>574625</v>
      </c>
      <c r="J36" s="157">
        <v>574639.0</v>
      </c>
      <c r="K36" s="156">
        <f t="shared" si="3"/>
        <v>30998</v>
      </c>
      <c r="L36" s="156">
        <f t="shared" si="4"/>
        <v>14</v>
      </c>
      <c r="M36" s="158"/>
      <c r="N36" s="158"/>
      <c r="O36" s="158">
        <f t="shared" si="5"/>
        <v>0</v>
      </c>
      <c r="P36" s="157" t="s">
        <v>94</v>
      </c>
      <c r="Q36" s="159" t="str">
        <f t="shared" si="6"/>
        <v>Outflow</v>
      </c>
    </row>
    <row r="37">
      <c r="A37" s="154">
        <v>45909.919386574074</v>
      </c>
      <c r="B37" s="155">
        <v>45907.0</v>
      </c>
      <c r="C37" s="156" t="str">
        <f t="shared" si="1"/>
        <v>September</v>
      </c>
      <c r="D37" s="157" t="s">
        <v>10</v>
      </c>
      <c r="E37" s="157" t="s">
        <v>75</v>
      </c>
      <c r="F37" s="157" t="s">
        <v>36</v>
      </c>
      <c r="G37" s="157">
        <v>12070.0</v>
      </c>
      <c r="H37" s="157">
        <v>574639.0</v>
      </c>
      <c r="I37" s="156">
        <f t="shared" si="10"/>
        <v>562569</v>
      </c>
      <c r="J37" s="157">
        <v>562614.0</v>
      </c>
      <c r="K37" s="156">
        <f t="shared" si="3"/>
        <v>12025</v>
      </c>
      <c r="L37" s="156">
        <f t="shared" si="4"/>
        <v>45</v>
      </c>
      <c r="M37" s="158"/>
      <c r="N37" s="158"/>
      <c r="O37" s="158">
        <f t="shared" si="5"/>
        <v>0</v>
      </c>
      <c r="P37" s="157" t="s">
        <v>80</v>
      </c>
      <c r="Q37" s="159" t="str">
        <f t="shared" si="6"/>
        <v>Outflow</v>
      </c>
    </row>
    <row r="38">
      <c r="A38" s="154">
        <v>45909.92155613426</v>
      </c>
      <c r="B38" s="155">
        <v>45907.0</v>
      </c>
      <c r="C38" s="156" t="str">
        <f t="shared" si="1"/>
        <v>September</v>
      </c>
      <c r="D38" s="157" t="s">
        <v>10</v>
      </c>
      <c r="E38" s="157" t="s">
        <v>78</v>
      </c>
      <c r="F38" s="157" t="s">
        <v>79</v>
      </c>
      <c r="G38" s="157">
        <v>41880.0</v>
      </c>
      <c r="H38" s="157">
        <v>562614.0</v>
      </c>
      <c r="I38" s="156">
        <f t="shared" si="10"/>
        <v>604494</v>
      </c>
      <c r="J38" s="157">
        <v>604496.0</v>
      </c>
      <c r="K38" s="156">
        <f t="shared" si="3"/>
        <v>41882</v>
      </c>
      <c r="L38" s="156">
        <f t="shared" si="4"/>
        <v>2</v>
      </c>
      <c r="M38" s="158"/>
      <c r="N38" s="158"/>
      <c r="O38" s="158">
        <f t="shared" si="5"/>
        <v>0</v>
      </c>
      <c r="P38" s="157" t="s">
        <v>80</v>
      </c>
      <c r="Q38" s="159" t="str">
        <f t="shared" si="6"/>
        <v>Inflow</v>
      </c>
    </row>
    <row r="39">
      <c r="A39" s="154">
        <v>45909.92390645834</v>
      </c>
      <c r="B39" s="155">
        <v>45907.0</v>
      </c>
      <c r="C39" s="156" t="str">
        <f t="shared" si="1"/>
        <v>September</v>
      </c>
      <c r="D39" s="157" t="s">
        <v>10</v>
      </c>
      <c r="E39" s="157" t="s">
        <v>78</v>
      </c>
      <c r="F39" s="157" t="s">
        <v>90</v>
      </c>
      <c r="G39" s="157">
        <v>44780.0</v>
      </c>
      <c r="H39" s="157">
        <v>604496.0</v>
      </c>
      <c r="I39" s="156">
        <f t="shared" si="10"/>
        <v>649276</v>
      </c>
      <c r="J39" s="157">
        <v>648982.0</v>
      </c>
      <c r="K39" s="156">
        <f t="shared" si="3"/>
        <v>44486</v>
      </c>
      <c r="L39" s="156">
        <f t="shared" si="4"/>
        <v>-294</v>
      </c>
      <c r="M39" s="158"/>
      <c r="N39" s="158"/>
      <c r="O39" s="158">
        <f t="shared" si="5"/>
        <v>0</v>
      </c>
      <c r="P39" s="157" t="s">
        <v>80</v>
      </c>
      <c r="Q39" s="159" t="str">
        <f t="shared" si="6"/>
        <v>Inflow</v>
      </c>
    </row>
    <row r="40">
      <c r="A40" s="154">
        <v>45909.92719778935</v>
      </c>
      <c r="B40" s="155">
        <v>45908.0</v>
      </c>
      <c r="C40" s="156" t="str">
        <f t="shared" si="1"/>
        <v>September</v>
      </c>
      <c r="D40" s="157" t="s">
        <v>10</v>
      </c>
      <c r="E40" s="157" t="s">
        <v>78</v>
      </c>
      <c r="F40" s="157" t="s">
        <v>89</v>
      </c>
      <c r="G40" s="157">
        <v>44900.0</v>
      </c>
      <c r="H40" s="157">
        <v>648982.0</v>
      </c>
      <c r="I40" s="156">
        <f t="shared" si="10"/>
        <v>693882</v>
      </c>
      <c r="J40" s="157">
        <v>693707.0</v>
      </c>
      <c r="K40" s="156">
        <f t="shared" si="3"/>
        <v>44725</v>
      </c>
      <c r="L40" s="156">
        <f t="shared" si="4"/>
        <v>-175</v>
      </c>
      <c r="M40" s="158"/>
      <c r="N40" s="158"/>
      <c r="O40" s="158">
        <f t="shared" si="5"/>
        <v>0</v>
      </c>
      <c r="P40" s="157" t="s">
        <v>95</v>
      </c>
      <c r="Q40" s="159" t="str">
        <f t="shared" si="6"/>
        <v>Inflow</v>
      </c>
    </row>
    <row r="41">
      <c r="A41" s="154">
        <v>45910.66157696759</v>
      </c>
      <c r="B41" s="155">
        <v>45908.0</v>
      </c>
      <c r="C41" s="156" t="str">
        <f t="shared" si="1"/>
        <v>September</v>
      </c>
      <c r="D41" s="157" t="s">
        <v>13</v>
      </c>
      <c r="E41" s="157" t="s">
        <v>75</v>
      </c>
      <c r="F41" s="157" t="s">
        <v>22</v>
      </c>
      <c r="G41" s="157">
        <v>26007.0</v>
      </c>
      <c r="H41" s="157">
        <v>578044.0</v>
      </c>
      <c r="I41" s="156">
        <f t="shared" si="10"/>
        <v>552037</v>
      </c>
      <c r="J41" s="157">
        <v>552389.0</v>
      </c>
      <c r="K41" s="156">
        <f t="shared" si="3"/>
        <v>25655</v>
      </c>
      <c r="L41" s="156">
        <f t="shared" si="4"/>
        <v>352</v>
      </c>
      <c r="M41" s="158"/>
      <c r="N41" s="158"/>
      <c r="O41" s="158">
        <f t="shared" si="5"/>
        <v>0</v>
      </c>
      <c r="P41" s="157" t="s">
        <v>94</v>
      </c>
      <c r="Q41" s="159" t="str">
        <f t="shared" si="6"/>
        <v>Outflow</v>
      </c>
    </row>
    <row r="42">
      <c r="A42" s="154">
        <v>45910.66252712963</v>
      </c>
      <c r="B42" s="155">
        <v>45908.0</v>
      </c>
      <c r="C42" s="156" t="str">
        <f t="shared" si="1"/>
        <v>September</v>
      </c>
      <c r="D42" s="157" t="s">
        <v>13</v>
      </c>
      <c r="E42" s="157" t="s">
        <v>75</v>
      </c>
      <c r="F42" s="157" t="s">
        <v>31</v>
      </c>
      <c r="G42" s="157">
        <v>38010.0</v>
      </c>
      <c r="H42" s="157">
        <v>552389.0</v>
      </c>
      <c r="I42" s="156">
        <f t="shared" si="10"/>
        <v>514379</v>
      </c>
      <c r="J42" s="157">
        <v>514476.0</v>
      </c>
      <c r="K42" s="156">
        <f t="shared" si="3"/>
        <v>37913</v>
      </c>
      <c r="L42" s="156">
        <f t="shared" si="4"/>
        <v>97</v>
      </c>
      <c r="M42" s="158"/>
      <c r="N42" s="158"/>
      <c r="O42" s="158">
        <f t="shared" si="5"/>
        <v>0</v>
      </c>
      <c r="P42" s="157" t="s">
        <v>94</v>
      </c>
      <c r="Q42" s="159" t="str">
        <f t="shared" si="6"/>
        <v>Outflow</v>
      </c>
    </row>
    <row r="43">
      <c r="A43" s="154">
        <v>45910.66460023148</v>
      </c>
      <c r="B43" s="155">
        <v>45908.0</v>
      </c>
      <c r="C43" s="156" t="str">
        <f t="shared" si="1"/>
        <v>September</v>
      </c>
      <c r="D43" s="157" t="s">
        <v>13</v>
      </c>
      <c r="E43" s="157" t="s">
        <v>75</v>
      </c>
      <c r="F43" s="157" t="s">
        <v>36</v>
      </c>
      <c r="G43" s="157">
        <v>18040.0</v>
      </c>
      <c r="H43" s="157">
        <v>514476.0</v>
      </c>
      <c r="I43" s="156">
        <f t="shared" si="10"/>
        <v>496436</v>
      </c>
      <c r="J43" s="157">
        <v>496506.0</v>
      </c>
      <c r="K43" s="156">
        <f t="shared" si="3"/>
        <v>17970</v>
      </c>
      <c r="L43" s="156">
        <f t="shared" si="4"/>
        <v>70</v>
      </c>
      <c r="M43" s="158"/>
      <c r="N43" s="158"/>
      <c r="O43" s="158">
        <f t="shared" si="5"/>
        <v>0</v>
      </c>
      <c r="P43" s="157" t="s">
        <v>94</v>
      </c>
      <c r="Q43" s="159" t="str">
        <f t="shared" si="6"/>
        <v>Outflow</v>
      </c>
    </row>
    <row r="44">
      <c r="A44" s="154">
        <v>45910.665429699075</v>
      </c>
      <c r="B44" s="155">
        <v>45908.0</v>
      </c>
      <c r="C44" s="156" t="str">
        <f t="shared" si="1"/>
        <v>September</v>
      </c>
      <c r="D44" s="157" t="s">
        <v>13</v>
      </c>
      <c r="E44" s="157" t="s">
        <v>75</v>
      </c>
      <c r="F44" s="157" t="s">
        <v>59</v>
      </c>
      <c r="G44" s="157">
        <v>35010.0</v>
      </c>
      <c r="H44" s="157">
        <v>496506.0</v>
      </c>
      <c r="I44" s="156">
        <f t="shared" si="10"/>
        <v>461496</v>
      </c>
      <c r="J44" s="157">
        <v>461523.0</v>
      </c>
      <c r="K44" s="156">
        <f t="shared" si="3"/>
        <v>34983</v>
      </c>
      <c r="L44" s="156">
        <f t="shared" si="4"/>
        <v>27</v>
      </c>
      <c r="M44" s="158"/>
      <c r="N44" s="158"/>
      <c r="O44" s="158">
        <f t="shared" si="5"/>
        <v>0</v>
      </c>
      <c r="P44" s="157" t="s">
        <v>94</v>
      </c>
      <c r="Q44" s="159" t="str">
        <f t="shared" si="6"/>
        <v>Outflow</v>
      </c>
    </row>
    <row r="45">
      <c r="A45" s="154">
        <v>45910.6662864699</v>
      </c>
      <c r="B45" s="155">
        <v>45908.0</v>
      </c>
      <c r="C45" s="156" t="str">
        <f t="shared" si="1"/>
        <v>September</v>
      </c>
      <c r="D45" s="157" t="s">
        <v>13</v>
      </c>
      <c r="E45" s="157" t="s">
        <v>75</v>
      </c>
      <c r="F45" s="157" t="s">
        <v>38</v>
      </c>
      <c r="G45" s="157">
        <v>52880.0</v>
      </c>
      <c r="H45" s="157">
        <v>461523.0</v>
      </c>
      <c r="I45" s="156">
        <f t="shared" si="10"/>
        <v>408643</v>
      </c>
      <c r="J45" s="157">
        <v>408294.0</v>
      </c>
      <c r="K45" s="156">
        <f t="shared" si="3"/>
        <v>53229</v>
      </c>
      <c r="L45" s="156">
        <f t="shared" si="4"/>
        <v>-349</v>
      </c>
      <c r="M45" s="158"/>
      <c r="N45" s="158"/>
      <c r="O45" s="158">
        <f t="shared" si="5"/>
        <v>0</v>
      </c>
      <c r="P45" s="157" t="s">
        <v>80</v>
      </c>
      <c r="Q45" s="159" t="str">
        <f t="shared" si="6"/>
        <v>Outflow</v>
      </c>
    </row>
    <row r="46">
      <c r="A46" s="154">
        <v>45910.667109814814</v>
      </c>
      <c r="B46" s="155">
        <v>45908.0</v>
      </c>
      <c r="C46" s="156" t="str">
        <f t="shared" si="1"/>
        <v>September</v>
      </c>
      <c r="D46" s="157" t="s">
        <v>13</v>
      </c>
      <c r="E46" s="157" t="s">
        <v>75</v>
      </c>
      <c r="F46" s="157" t="s">
        <v>31</v>
      </c>
      <c r="G46" s="157">
        <v>39560.0</v>
      </c>
      <c r="H46" s="157">
        <v>408294.0</v>
      </c>
      <c r="I46" s="156">
        <f t="shared" si="10"/>
        <v>368734</v>
      </c>
      <c r="J46" s="157">
        <v>368657.0</v>
      </c>
      <c r="K46" s="156">
        <f t="shared" si="3"/>
        <v>39637</v>
      </c>
      <c r="L46" s="156">
        <f t="shared" si="4"/>
        <v>-77</v>
      </c>
      <c r="M46" s="157">
        <v>1114.0</v>
      </c>
      <c r="N46" s="157">
        <v>41009.0</v>
      </c>
      <c r="O46" s="158">
        <f t="shared" si="5"/>
        <v>39895</v>
      </c>
      <c r="P46" s="157" t="s">
        <v>80</v>
      </c>
      <c r="Q46" s="159" t="str">
        <f t="shared" si="6"/>
        <v>Outflow</v>
      </c>
    </row>
    <row r="47">
      <c r="A47" s="154">
        <v>45910.669558298614</v>
      </c>
      <c r="B47" s="155">
        <v>45908.0</v>
      </c>
      <c r="C47" s="156" t="str">
        <f t="shared" si="1"/>
        <v>September</v>
      </c>
      <c r="D47" s="157" t="s">
        <v>13</v>
      </c>
      <c r="E47" s="157" t="s">
        <v>75</v>
      </c>
      <c r="F47" s="157" t="s">
        <v>38</v>
      </c>
      <c r="G47" s="157">
        <v>54240.0</v>
      </c>
      <c r="H47" s="157">
        <v>368657.0</v>
      </c>
      <c r="I47" s="156">
        <f t="shared" si="10"/>
        <v>314417</v>
      </c>
      <c r="J47" s="157">
        <v>314498.0</v>
      </c>
      <c r="K47" s="156">
        <f t="shared" si="3"/>
        <v>54159</v>
      </c>
      <c r="L47" s="156">
        <f t="shared" si="4"/>
        <v>81</v>
      </c>
      <c r="M47" s="158"/>
      <c r="N47" s="158"/>
      <c r="O47" s="158">
        <f t="shared" si="5"/>
        <v>0</v>
      </c>
      <c r="P47" s="157" t="s">
        <v>80</v>
      </c>
      <c r="Q47" s="159" t="str">
        <f t="shared" si="6"/>
        <v>Outflow</v>
      </c>
    </row>
    <row r="48">
      <c r="A48" s="154">
        <v>45910.67212459491</v>
      </c>
      <c r="B48" s="155">
        <v>45909.0</v>
      </c>
      <c r="C48" s="156" t="str">
        <f t="shared" si="1"/>
        <v>September</v>
      </c>
      <c r="D48" s="157" t="s">
        <v>13</v>
      </c>
      <c r="E48" s="157" t="s">
        <v>75</v>
      </c>
      <c r="F48" s="157" t="s">
        <v>18</v>
      </c>
      <c r="G48" s="157">
        <v>54210.0</v>
      </c>
      <c r="H48" s="157">
        <v>314498.0</v>
      </c>
      <c r="I48" s="156">
        <f t="shared" si="10"/>
        <v>260288</v>
      </c>
      <c r="J48" s="157">
        <v>259628.0</v>
      </c>
      <c r="K48" s="156">
        <f t="shared" si="3"/>
        <v>54870</v>
      </c>
      <c r="L48" s="156">
        <f t="shared" si="4"/>
        <v>-660</v>
      </c>
      <c r="M48" s="158"/>
      <c r="N48" s="158"/>
      <c r="O48" s="158">
        <f t="shared" si="5"/>
        <v>0</v>
      </c>
      <c r="P48" s="157" t="s">
        <v>76</v>
      </c>
      <c r="Q48" s="159" t="str">
        <f t="shared" si="6"/>
        <v>Outflow</v>
      </c>
    </row>
    <row r="49">
      <c r="A49" s="154">
        <v>45910.673613437495</v>
      </c>
      <c r="B49" s="155">
        <v>45909.0</v>
      </c>
      <c r="C49" s="156" t="str">
        <f t="shared" si="1"/>
        <v>September</v>
      </c>
      <c r="D49" s="157" t="s">
        <v>10</v>
      </c>
      <c r="E49" s="157" t="s">
        <v>75</v>
      </c>
      <c r="F49" s="157" t="s">
        <v>59</v>
      </c>
      <c r="G49" s="157">
        <v>30510.0</v>
      </c>
      <c r="H49" s="157">
        <v>692877.0</v>
      </c>
      <c r="I49" s="156">
        <f t="shared" si="10"/>
        <v>662367</v>
      </c>
      <c r="J49" s="157">
        <v>662058.0</v>
      </c>
      <c r="K49" s="156">
        <f t="shared" si="3"/>
        <v>30819</v>
      </c>
      <c r="L49" s="156">
        <f t="shared" si="4"/>
        <v>-309</v>
      </c>
      <c r="M49" s="158"/>
      <c r="N49" s="158"/>
      <c r="O49" s="158">
        <f t="shared" si="5"/>
        <v>0</v>
      </c>
      <c r="P49" s="157" t="s">
        <v>95</v>
      </c>
      <c r="Q49" s="159" t="str">
        <f t="shared" si="6"/>
        <v>Outflow</v>
      </c>
    </row>
    <row r="50">
      <c r="A50" s="154">
        <v>45910.67495170139</v>
      </c>
      <c r="B50" s="155">
        <v>45909.0</v>
      </c>
      <c r="C50" s="156" t="str">
        <f t="shared" si="1"/>
        <v>September</v>
      </c>
      <c r="D50" s="157" t="s">
        <v>10</v>
      </c>
      <c r="E50" s="157" t="s">
        <v>75</v>
      </c>
      <c r="F50" s="157" t="s">
        <v>36</v>
      </c>
      <c r="G50" s="157">
        <v>23010.0</v>
      </c>
      <c r="H50" s="157">
        <v>662058.0</v>
      </c>
      <c r="I50" s="156">
        <f t="shared" si="10"/>
        <v>639048</v>
      </c>
      <c r="J50" s="157">
        <v>638918.0</v>
      </c>
      <c r="K50" s="156">
        <f t="shared" si="3"/>
        <v>23140</v>
      </c>
      <c r="L50" s="156">
        <f t="shared" si="4"/>
        <v>-130</v>
      </c>
      <c r="M50" s="158"/>
      <c r="N50" s="158"/>
      <c r="O50" s="158">
        <f t="shared" si="5"/>
        <v>0</v>
      </c>
      <c r="P50" s="157" t="s">
        <v>95</v>
      </c>
      <c r="Q50" s="159" t="str">
        <f t="shared" si="6"/>
        <v>Outflow</v>
      </c>
    </row>
    <row r="51">
      <c r="A51" s="154">
        <v>45910.676013599536</v>
      </c>
      <c r="B51" s="155">
        <v>45909.0</v>
      </c>
      <c r="C51" s="156" t="str">
        <f t="shared" si="1"/>
        <v>September</v>
      </c>
      <c r="D51" s="157" t="s">
        <v>10</v>
      </c>
      <c r="E51" s="157" t="s">
        <v>78</v>
      </c>
      <c r="F51" s="157" t="s">
        <v>93</v>
      </c>
      <c r="G51" s="157">
        <v>39920.0</v>
      </c>
      <c r="H51" s="157">
        <v>638918.0</v>
      </c>
      <c r="I51" s="156">
        <f t="shared" si="10"/>
        <v>678838</v>
      </c>
      <c r="J51" s="157">
        <v>678867.0</v>
      </c>
      <c r="K51" s="156">
        <f t="shared" si="3"/>
        <v>39949</v>
      </c>
      <c r="L51" s="156">
        <f t="shared" si="4"/>
        <v>29</v>
      </c>
      <c r="M51" s="158"/>
      <c r="N51" s="158"/>
      <c r="O51" s="158">
        <f t="shared" si="5"/>
        <v>0</v>
      </c>
      <c r="P51" s="157" t="s">
        <v>94</v>
      </c>
      <c r="Q51" s="159" t="str">
        <f t="shared" si="6"/>
        <v>Inflow</v>
      </c>
    </row>
    <row r="52">
      <c r="A52" s="154">
        <v>45910.67779840278</v>
      </c>
      <c r="B52" s="155">
        <v>45909.0</v>
      </c>
      <c r="C52" s="156" t="str">
        <f t="shared" si="1"/>
        <v>September</v>
      </c>
      <c r="D52" s="157" t="s">
        <v>10</v>
      </c>
      <c r="E52" s="157" t="s">
        <v>75</v>
      </c>
      <c r="F52" s="157" t="s">
        <v>38</v>
      </c>
      <c r="G52" s="157">
        <v>21070.0</v>
      </c>
      <c r="H52" s="157">
        <v>678867.0</v>
      </c>
      <c r="I52" s="156">
        <f t="shared" si="10"/>
        <v>657797</v>
      </c>
      <c r="J52" s="157">
        <v>657596.0</v>
      </c>
      <c r="K52" s="156">
        <f t="shared" si="3"/>
        <v>21271</v>
      </c>
      <c r="L52" s="156">
        <f t="shared" si="4"/>
        <v>-201</v>
      </c>
      <c r="M52" s="158"/>
      <c r="N52" s="158"/>
      <c r="O52" s="158">
        <f t="shared" si="5"/>
        <v>0</v>
      </c>
      <c r="P52" s="157" t="s">
        <v>94</v>
      </c>
      <c r="Q52" s="159" t="str">
        <f t="shared" si="6"/>
        <v>Outflow</v>
      </c>
    </row>
    <row r="53">
      <c r="A53" s="154">
        <v>45910.67933680555</v>
      </c>
      <c r="B53" s="155">
        <v>45909.0</v>
      </c>
      <c r="C53" s="156" t="str">
        <f t="shared" si="1"/>
        <v>September</v>
      </c>
      <c r="D53" s="157" t="s">
        <v>10</v>
      </c>
      <c r="E53" s="157" t="s">
        <v>75</v>
      </c>
      <c r="F53" s="157" t="s">
        <v>96</v>
      </c>
      <c r="G53" s="157">
        <v>50000.0</v>
      </c>
      <c r="H53" s="157">
        <v>657596.0</v>
      </c>
      <c r="I53" s="156">
        <f t="shared" si="10"/>
        <v>607596</v>
      </c>
      <c r="J53" s="157">
        <v>607503.0</v>
      </c>
      <c r="K53" s="156">
        <f t="shared" si="3"/>
        <v>50093</v>
      </c>
      <c r="L53" s="156">
        <f t="shared" si="4"/>
        <v>-93</v>
      </c>
      <c r="M53" s="158"/>
      <c r="N53" s="158"/>
      <c r="O53" s="158">
        <f t="shared" si="5"/>
        <v>0</v>
      </c>
      <c r="P53" s="157" t="s">
        <v>95</v>
      </c>
      <c r="Q53" s="159" t="str">
        <f t="shared" si="6"/>
        <v>Outflow</v>
      </c>
    </row>
    <row r="54">
      <c r="A54" s="154">
        <v>45910.68004998843</v>
      </c>
      <c r="B54" s="155">
        <v>45909.0</v>
      </c>
      <c r="C54" s="156" t="str">
        <f t="shared" si="1"/>
        <v>September</v>
      </c>
      <c r="D54" s="157" t="s">
        <v>10</v>
      </c>
      <c r="E54" s="157" t="s">
        <v>75</v>
      </c>
      <c r="F54" s="157" t="s">
        <v>18</v>
      </c>
      <c r="G54" s="157">
        <v>53020.0</v>
      </c>
      <c r="H54" s="157">
        <v>607503.0</v>
      </c>
      <c r="I54" s="156">
        <f t="shared" si="10"/>
        <v>554483</v>
      </c>
      <c r="J54" s="157">
        <v>554424.0</v>
      </c>
      <c r="K54" s="156">
        <f t="shared" si="3"/>
        <v>53079</v>
      </c>
      <c r="L54" s="156">
        <f t="shared" si="4"/>
        <v>-59</v>
      </c>
      <c r="M54" s="158"/>
      <c r="N54" s="158"/>
      <c r="O54" s="158">
        <f t="shared" si="5"/>
        <v>0</v>
      </c>
      <c r="P54" s="157" t="s">
        <v>95</v>
      </c>
      <c r="Q54" s="159" t="str">
        <f t="shared" si="6"/>
        <v>Outflow</v>
      </c>
    </row>
    <row r="55">
      <c r="A55" s="154">
        <v>45910.68171280093</v>
      </c>
      <c r="B55" s="155">
        <v>45909.0</v>
      </c>
      <c r="C55" s="156" t="str">
        <f t="shared" si="1"/>
        <v>September</v>
      </c>
      <c r="D55" s="157" t="s">
        <v>10</v>
      </c>
      <c r="E55" s="157" t="s">
        <v>75</v>
      </c>
      <c r="F55" s="157" t="s">
        <v>38</v>
      </c>
      <c r="G55" s="157">
        <v>28030.0</v>
      </c>
      <c r="H55" s="157">
        <v>554424.0</v>
      </c>
      <c r="I55" s="156">
        <f t="shared" si="10"/>
        <v>526394</v>
      </c>
      <c r="J55" s="157">
        <v>526433.0</v>
      </c>
      <c r="K55" s="156">
        <f t="shared" si="3"/>
        <v>27991</v>
      </c>
      <c r="L55" s="156">
        <f t="shared" si="4"/>
        <v>39</v>
      </c>
      <c r="M55" s="158"/>
      <c r="N55" s="158"/>
      <c r="O55" s="158">
        <f t="shared" si="5"/>
        <v>0</v>
      </c>
      <c r="P55" s="157" t="s">
        <v>95</v>
      </c>
      <c r="Q55" s="159" t="str">
        <f t="shared" si="6"/>
        <v>Outflow</v>
      </c>
    </row>
    <row r="56">
      <c r="A56" s="154">
        <v>45910.84531791667</v>
      </c>
      <c r="B56" s="155">
        <v>45910.0</v>
      </c>
      <c r="C56" s="156" t="str">
        <f t="shared" si="1"/>
        <v>September</v>
      </c>
      <c r="D56" s="157" t="s">
        <v>10</v>
      </c>
      <c r="E56" s="157" t="s">
        <v>75</v>
      </c>
      <c r="F56" s="157" t="s">
        <v>59</v>
      </c>
      <c r="G56" s="157">
        <v>40510.0</v>
      </c>
      <c r="H56" s="157">
        <v>526433.0</v>
      </c>
      <c r="I56" s="156">
        <f t="shared" si="10"/>
        <v>485923</v>
      </c>
      <c r="J56" s="157">
        <v>485898.0</v>
      </c>
      <c r="K56" s="156">
        <f t="shared" si="3"/>
        <v>40535</v>
      </c>
      <c r="L56" s="156">
        <f t="shared" si="4"/>
        <v>-25</v>
      </c>
      <c r="M56" s="158"/>
      <c r="N56" s="158"/>
      <c r="O56" s="158">
        <f t="shared" si="5"/>
        <v>0</v>
      </c>
      <c r="P56" s="157" t="s">
        <v>76</v>
      </c>
      <c r="Q56" s="159" t="str">
        <f t="shared" si="6"/>
        <v>Outflow</v>
      </c>
    </row>
    <row r="57">
      <c r="A57" s="154">
        <v>45910.8466731713</v>
      </c>
      <c r="B57" s="155">
        <v>45910.0</v>
      </c>
      <c r="C57" s="156" t="str">
        <f t="shared" si="1"/>
        <v>September</v>
      </c>
      <c r="D57" s="157" t="s">
        <v>10</v>
      </c>
      <c r="E57" s="157" t="s">
        <v>75</v>
      </c>
      <c r="F57" s="157" t="s">
        <v>97</v>
      </c>
      <c r="G57" s="157">
        <v>50000.0</v>
      </c>
      <c r="H57" s="157">
        <v>485898.0</v>
      </c>
      <c r="I57" s="156">
        <f t="shared" si="10"/>
        <v>435898</v>
      </c>
      <c r="J57" s="157">
        <v>435848.0</v>
      </c>
      <c r="K57" s="156">
        <f t="shared" si="3"/>
        <v>50050</v>
      </c>
      <c r="L57" s="156">
        <f t="shared" si="4"/>
        <v>-50</v>
      </c>
      <c r="M57" s="158"/>
      <c r="N57" s="158"/>
      <c r="O57" s="158">
        <f t="shared" si="5"/>
        <v>0</v>
      </c>
      <c r="P57" s="157" t="s">
        <v>76</v>
      </c>
      <c r="Q57" s="159" t="str">
        <f t="shared" si="6"/>
        <v>Outflow</v>
      </c>
    </row>
    <row r="58">
      <c r="A58" s="154">
        <v>45910.8475044213</v>
      </c>
      <c r="B58" s="155">
        <v>45910.0</v>
      </c>
      <c r="C58" s="156" t="str">
        <f t="shared" si="1"/>
        <v>September</v>
      </c>
      <c r="D58" s="157" t="s">
        <v>10</v>
      </c>
      <c r="E58" s="157" t="s">
        <v>75</v>
      </c>
      <c r="F58" s="157" t="s">
        <v>18</v>
      </c>
      <c r="G58" s="157">
        <v>48190.0</v>
      </c>
      <c r="H58" s="157">
        <v>435848.0</v>
      </c>
      <c r="I58" s="156">
        <f t="shared" si="10"/>
        <v>387658</v>
      </c>
      <c r="J58" s="157">
        <v>387666.0</v>
      </c>
      <c r="K58" s="156">
        <f t="shared" si="3"/>
        <v>48182</v>
      </c>
      <c r="L58" s="156">
        <f t="shared" si="4"/>
        <v>8</v>
      </c>
      <c r="M58" s="158"/>
      <c r="N58" s="158"/>
      <c r="O58" s="158">
        <f t="shared" si="5"/>
        <v>0</v>
      </c>
      <c r="P58" s="157" t="s">
        <v>76</v>
      </c>
      <c r="Q58" s="159" t="str">
        <f t="shared" si="6"/>
        <v>Outflow</v>
      </c>
    </row>
    <row r="59">
      <c r="A59" s="154">
        <v>45910.85925925926</v>
      </c>
      <c r="B59" s="155">
        <v>45910.0</v>
      </c>
      <c r="C59" s="156" t="str">
        <f t="shared" si="1"/>
        <v>September</v>
      </c>
      <c r="D59" s="157" t="s">
        <v>10</v>
      </c>
      <c r="E59" s="157" t="s">
        <v>75</v>
      </c>
      <c r="F59" s="157" t="s">
        <v>36</v>
      </c>
      <c r="G59" s="157">
        <v>29050.0</v>
      </c>
      <c r="H59" s="157">
        <v>387666.0</v>
      </c>
      <c r="I59" s="156">
        <f t="shared" si="10"/>
        <v>358616</v>
      </c>
      <c r="J59" s="157">
        <v>358445.0</v>
      </c>
      <c r="K59" s="156">
        <f t="shared" si="3"/>
        <v>29221</v>
      </c>
      <c r="L59" s="156">
        <f t="shared" si="4"/>
        <v>-171</v>
      </c>
      <c r="M59" s="157">
        <v>957.0</v>
      </c>
      <c r="N59" s="157">
        <v>30141.0</v>
      </c>
      <c r="O59" s="157">
        <f t="shared" si="5"/>
        <v>29184</v>
      </c>
      <c r="P59" s="157" t="s">
        <v>94</v>
      </c>
      <c r="Q59" s="159" t="str">
        <f t="shared" si="6"/>
        <v>Outflow</v>
      </c>
    </row>
    <row r="60">
      <c r="A60" s="154">
        <v>45918.08610627315</v>
      </c>
      <c r="B60" s="155">
        <v>45910.0</v>
      </c>
      <c r="C60" s="156" t="str">
        <f t="shared" si="1"/>
        <v>September</v>
      </c>
      <c r="D60" s="157" t="s">
        <v>10</v>
      </c>
      <c r="E60" s="157" t="s">
        <v>75</v>
      </c>
      <c r="F60" s="157" t="s">
        <v>59</v>
      </c>
      <c r="G60" s="157">
        <v>32520.0</v>
      </c>
      <c r="H60" s="157">
        <v>358445.0</v>
      </c>
      <c r="I60" s="156">
        <f t="shared" si="10"/>
        <v>325925</v>
      </c>
      <c r="J60" s="157">
        <v>325806.0</v>
      </c>
      <c r="K60" s="156">
        <f t="shared" si="3"/>
        <v>32639</v>
      </c>
      <c r="L60" s="156">
        <f t="shared" si="4"/>
        <v>-119</v>
      </c>
      <c r="M60" s="157">
        <v>22407.0</v>
      </c>
      <c r="N60" s="157">
        <v>55378.0</v>
      </c>
      <c r="O60" s="156">
        <f t="shared" si="5"/>
        <v>32971</v>
      </c>
      <c r="P60" s="157" t="s">
        <v>94</v>
      </c>
      <c r="Q60" s="159" t="str">
        <f t="shared" si="6"/>
        <v>Outflow</v>
      </c>
    </row>
    <row r="61">
      <c r="A61" s="154">
        <v>45918.088120810186</v>
      </c>
      <c r="B61" s="155">
        <v>45910.0</v>
      </c>
      <c r="C61" s="156" t="str">
        <f t="shared" si="1"/>
        <v>September</v>
      </c>
      <c r="D61" s="157" t="s">
        <v>10</v>
      </c>
      <c r="E61" s="157" t="s">
        <v>75</v>
      </c>
      <c r="F61" s="157" t="s">
        <v>18</v>
      </c>
      <c r="G61" s="157">
        <v>43030.0</v>
      </c>
      <c r="H61" s="157">
        <v>325806.0</v>
      </c>
      <c r="I61" s="156">
        <f t="shared" si="10"/>
        <v>282776</v>
      </c>
      <c r="J61" s="157">
        <v>282716.0</v>
      </c>
      <c r="K61" s="156">
        <f t="shared" si="3"/>
        <v>43090</v>
      </c>
      <c r="L61" s="156">
        <f t="shared" si="4"/>
        <v>-60</v>
      </c>
      <c r="M61" s="157">
        <v>11967.0</v>
      </c>
      <c r="N61" s="157">
        <v>54596.0</v>
      </c>
      <c r="O61" s="156">
        <f t="shared" si="5"/>
        <v>42629</v>
      </c>
      <c r="P61" s="157" t="s">
        <v>95</v>
      </c>
      <c r="Q61" s="159" t="str">
        <f t="shared" si="6"/>
        <v>Outflow</v>
      </c>
    </row>
    <row r="62">
      <c r="A62" s="154">
        <v>45918.09024335648</v>
      </c>
      <c r="B62" s="155">
        <v>45910.0</v>
      </c>
      <c r="C62" s="156" t="str">
        <f t="shared" si="1"/>
        <v>September</v>
      </c>
      <c r="D62" s="157" t="s">
        <v>10</v>
      </c>
      <c r="E62" s="157" t="s">
        <v>75</v>
      </c>
      <c r="F62" s="157" t="s">
        <v>22</v>
      </c>
      <c r="G62" s="157">
        <v>18207.0</v>
      </c>
      <c r="H62" s="157">
        <v>282716.0</v>
      </c>
      <c r="I62" s="156">
        <f t="shared" si="10"/>
        <v>264509</v>
      </c>
      <c r="J62" s="157">
        <v>264589.0</v>
      </c>
      <c r="K62" s="156">
        <f t="shared" si="3"/>
        <v>18127</v>
      </c>
      <c r="L62" s="156">
        <f t="shared" si="4"/>
        <v>80</v>
      </c>
      <c r="M62" s="157">
        <v>16731.0</v>
      </c>
      <c r="N62" s="157">
        <v>35211.0</v>
      </c>
      <c r="O62" s="156">
        <f t="shared" si="5"/>
        <v>18480</v>
      </c>
      <c r="P62" s="157" t="s">
        <v>94</v>
      </c>
      <c r="Q62" s="159" t="str">
        <f t="shared" si="6"/>
        <v>Outflow</v>
      </c>
    </row>
    <row r="63">
      <c r="A63" s="154">
        <v>45918.093255416665</v>
      </c>
      <c r="B63" s="155">
        <v>45911.0</v>
      </c>
      <c r="C63" s="156" t="str">
        <f t="shared" si="1"/>
        <v>September</v>
      </c>
      <c r="D63" s="157" t="s">
        <v>10</v>
      </c>
      <c r="E63" s="157" t="s">
        <v>75</v>
      </c>
      <c r="F63" s="157" t="s">
        <v>18</v>
      </c>
      <c r="G63" s="157">
        <v>41870.0</v>
      </c>
      <c r="H63" s="157">
        <v>264589.0</v>
      </c>
      <c r="I63" s="156">
        <f t="shared" si="10"/>
        <v>222719</v>
      </c>
      <c r="J63" s="157">
        <v>222432.0</v>
      </c>
      <c r="K63" s="156">
        <f t="shared" si="3"/>
        <v>42157</v>
      </c>
      <c r="L63" s="156">
        <f t="shared" si="4"/>
        <v>-287</v>
      </c>
      <c r="M63" s="157">
        <v>13397.0</v>
      </c>
      <c r="N63" s="157">
        <v>55809.0</v>
      </c>
      <c r="O63" s="156">
        <f t="shared" si="5"/>
        <v>42412</v>
      </c>
      <c r="P63" s="157" t="s">
        <v>80</v>
      </c>
      <c r="Q63" s="159" t="str">
        <f t="shared" si="6"/>
        <v>Outflow</v>
      </c>
    </row>
    <row r="64">
      <c r="A64" s="154">
        <v>45918.09612747685</v>
      </c>
      <c r="B64" s="155">
        <v>45911.0</v>
      </c>
      <c r="C64" s="156" t="str">
        <f t="shared" si="1"/>
        <v>September</v>
      </c>
      <c r="D64" s="157" t="s">
        <v>10</v>
      </c>
      <c r="E64" s="157" t="s">
        <v>75</v>
      </c>
      <c r="F64" s="157" t="s">
        <v>59</v>
      </c>
      <c r="G64" s="157">
        <v>43270.0</v>
      </c>
      <c r="H64" s="157">
        <v>222432.0</v>
      </c>
      <c r="I64" s="156">
        <f t="shared" si="10"/>
        <v>179162</v>
      </c>
      <c r="J64" s="157">
        <v>178929.0</v>
      </c>
      <c r="K64" s="156">
        <f t="shared" si="3"/>
        <v>43503</v>
      </c>
      <c r="L64" s="156">
        <f t="shared" si="4"/>
        <v>-233</v>
      </c>
      <c r="M64" s="157">
        <v>12179.0</v>
      </c>
      <c r="N64" s="157">
        <v>55611.0</v>
      </c>
      <c r="O64" s="156">
        <f t="shared" si="5"/>
        <v>43432</v>
      </c>
      <c r="P64" s="157" t="s">
        <v>80</v>
      </c>
      <c r="Q64" s="159" t="str">
        <f t="shared" si="6"/>
        <v>Outflow</v>
      </c>
    </row>
    <row r="65">
      <c r="A65" s="154">
        <v>45918.10093927084</v>
      </c>
      <c r="B65" s="155">
        <v>45911.0</v>
      </c>
      <c r="C65" s="156" t="str">
        <f t="shared" si="1"/>
        <v>September</v>
      </c>
      <c r="D65" s="157" t="s">
        <v>10</v>
      </c>
      <c r="E65" s="157" t="s">
        <v>75</v>
      </c>
      <c r="F65" s="157" t="s">
        <v>22</v>
      </c>
      <c r="G65" s="157">
        <v>32608.0</v>
      </c>
      <c r="H65" s="157">
        <v>178929.0</v>
      </c>
      <c r="I65" s="156">
        <f t="shared" si="10"/>
        <v>146321</v>
      </c>
      <c r="J65" s="157">
        <v>146197.0</v>
      </c>
      <c r="K65" s="156">
        <f t="shared" si="3"/>
        <v>32732</v>
      </c>
      <c r="L65" s="156">
        <f t="shared" si="4"/>
        <v>-124</v>
      </c>
      <c r="M65" s="157">
        <v>2432.0</v>
      </c>
      <c r="N65" s="157">
        <v>35211.0</v>
      </c>
      <c r="O65" s="156">
        <f t="shared" si="5"/>
        <v>32779</v>
      </c>
      <c r="P65" s="157" t="s">
        <v>77</v>
      </c>
      <c r="Q65" s="159" t="str">
        <f t="shared" si="6"/>
        <v>Outflow</v>
      </c>
    </row>
    <row r="66">
      <c r="A66" s="154">
        <v>45918.103584861106</v>
      </c>
      <c r="B66" s="155">
        <v>45912.0</v>
      </c>
      <c r="C66" s="156" t="str">
        <f t="shared" si="1"/>
        <v>September</v>
      </c>
      <c r="D66" s="157" t="s">
        <v>10</v>
      </c>
      <c r="E66" s="157" t="s">
        <v>75</v>
      </c>
      <c r="F66" s="157" t="s">
        <v>36</v>
      </c>
      <c r="G66" s="157">
        <v>8550.0</v>
      </c>
      <c r="H66" s="157">
        <v>146197.0</v>
      </c>
      <c r="I66" s="156">
        <f t="shared" si="10"/>
        <v>137647</v>
      </c>
      <c r="J66" s="157">
        <v>137599.0</v>
      </c>
      <c r="K66" s="156">
        <f t="shared" si="3"/>
        <v>8598</v>
      </c>
      <c r="L66" s="156">
        <f t="shared" si="4"/>
        <v>-48</v>
      </c>
      <c r="M66" s="157">
        <v>21508.0</v>
      </c>
      <c r="N66" s="157">
        <v>30141.0</v>
      </c>
      <c r="O66" s="156">
        <f t="shared" si="5"/>
        <v>8633</v>
      </c>
      <c r="P66" s="157" t="s">
        <v>80</v>
      </c>
      <c r="Q66" s="159" t="str">
        <f t="shared" si="6"/>
        <v>Outflow</v>
      </c>
    </row>
    <row r="67">
      <c r="A67" s="154">
        <v>45918.10556247685</v>
      </c>
      <c r="B67" s="155">
        <v>45912.0</v>
      </c>
      <c r="C67" s="156" t="str">
        <f t="shared" si="1"/>
        <v>September</v>
      </c>
      <c r="D67" s="157" t="s">
        <v>10</v>
      </c>
      <c r="E67" s="157" t="s">
        <v>75</v>
      </c>
      <c r="F67" s="157" t="s">
        <v>36</v>
      </c>
      <c r="G67" s="157">
        <v>15950.0</v>
      </c>
      <c r="H67" s="157">
        <v>137599.0</v>
      </c>
      <c r="I67" s="156">
        <f t="shared" si="10"/>
        <v>121649</v>
      </c>
      <c r="J67" s="157">
        <v>120921.0</v>
      </c>
      <c r="K67" s="156">
        <f t="shared" si="3"/>
        <v>16678</v>
      </c>
      <c r="L67" s="156">
        <f t="shared" si="4"/>
        <v>-728</v>
      </c>
      <c r="M67" s="157">
        <v>14436.0</v>
      </c>
      <c r="N67" s="157">
        <v>31288.0</v>
      </c>
      <c r="O67" s="156">
        <f t="shared" si="5"/>
        <v>16852</v>
      </c>
      <c r="P67" s="157" t="s">
        <v>80</v>
      </c>
      <c r="Q67" s="159" t="str">
        <f t="shared" si="6"/>
        <v>Outflow</v>
      </c>
    </row>
    <row r="68">
      <c r="A68" s="154">
        <v>45918.10745099537</v>
      </c>
      <c r="B68" s="155">
        <v>45912.0</v>
      </c>
      <c r="C68" s="156" t="str">
        <f t="shared" si="1"/>
        <v>September</v>
      </c>
      <c r="D68" s="157" t="s">
        <v>10</v>
      </c>
      <c r="E68" s="157" t="s">
        <v>75</v>
      </c>
      <c r="F68" s="157" t="s">
        <v>18</v>
      </c>
      <c r="G68" s="157">
        <v>39440.0</v>
      </c>
      <c r="H68" s="157">
        <v>120921.0</v>
      </c>
      <c r="I68" s="156">
        <f t="shared" si="10"/>
        <v>81481</v>
      </c>
      <c r="J68" s="157">
        <v>81085.0</v>
      </c>
      <c r="K68" s="156">
        <f t="shared" si="3"/>
        <v>39836</v>
      </c>
      <c r="L68" s="156">
        <f t="shared" si="4"/>
        <v>-396</v>
      </c>
      <c r="M68" s="157">
        <v>15742.0</v>
      </c>
      <c r="N68" s="157">
        <v>55809.0</v>
      </c>
      <c r="O68" s="156">
        <f t="shared" si="5"/>
        <v>40067</v>
      </c>
      <c r="P68" s="157" t="s">
        <v>80</v>
      </c>
      <c r="Q68" s="159" t="str">
        <f t="shared" si="6"/>
        <v>Outflow</v>
      </c>
    </row>
    <row r="69">
      <c r="A69" s="154">
        <v>45918.109153032405</v>
      </c>
      <c r="B69" s="155">
        <v>45912.0</v>
      </c>
      <c r="C69" s="156" t="str">
        <f t="shared" si="1"/>
        <v>September</v>
      </c>
      <c r="D69" s="157" t="s">
        <v>10</v>
      </c>
      <c r="E69" s="157" t="s">
        <v>75</v>
      </c>
      <c r="F69" s="157" t="s">
        <v>38</v>
      </c>
      <c r="G69" s="157">
        <v>33020.0</v>
      </c>
      <c r="H69" s="157">
        <v>81085.0</v>
      </c>
      <c r="I69" s="156">
        <f t="shared" si="10"/>
        <v>48065</v>
      </c>
      <c r="J69" s="157">
        <v>47959.0</v>
      </c>
      <c r="K69" s="156">
        <f t="shared" si="3"/>
        <v>33126</v>
      </c>
      <c r="L69" s="156">
        <f t="shared" si="4"/>
        <v>-106</v>
      </c>
      <c r="M69" s="157">
        <v>22022.0</v>
      </c>
      <c r="N69" s="157">
        <v>55198.0</v>
      </c>
      <c r="O69" s="156">
        <f t="shared" si="5"/>
        <v>33176</v>
      </c>
      <c r="P69" s="157" t="s">
        <v>80</v>
      </c>
      <c r="Q69" s="159" t="str">
        <f t="shared" si="6"/>
        <v>Outflow</v>
      </c>
    </row>
    <row r="70">
      <c r="A70" s="154">
        <v>45918.11131303241</v>
      </c>
      <c r="B70" s="155">
        <v>45912.0</v>
      </c>
      <c r="C70" s="156" t="str">
        <f t="shared" si="1"/>
        <v>September</v>
      </c>
      <c r="D70" s="157" t="s">
        <v>10</v>
      </c>
      <c r="E70" s="157" t="s">
        <v>75</v>
      </c>
      <c r="F70" s="157" t="s">
        <v>22</v>
      </c>
      <c r="G70" s="157">
        <v>27510.0</v>
      </c>
      <c r="H70" s="157">
        <v>47959.0</v>
      </c>
      <c r="I70" s="156">
        <f t="shared" si="10"/>
        <v>20449</v>
      </c>
      <c r="J70" s="157">
        <v>20345.0</v>
      </c>
      <c r="K70" s="156">
        <f t="shared" si="3"/>
        <v>27614</v>
      </c>
      <c r="L70" s="156">
        <f t="shared" si="4"/>
        <v>-104</v>
      </c>
      <c r="M70" s="157">
        <v>7646.0</v>
      </c>
      <c r="N70" s="157">
        <v>35323.0</v>
      </c>
      <c r="O70" s="156">
        <f t="shared" si="5"/>
        <v>27677</v>
      </c>
      <c r="P70" s="157" t="s">
        <v>80</v>
      </c>
      <c r="Q70" s="159" t="str">
        <f t="shared" si="6"/>
        <v>Outflow</v>
      </c>
    </row>
    <row r="71">
      <c r="A71" s="154">
        <v>45918.40564571759</v>
      </c>
      <c r="B71" s="155">
        <v>45913.0</v>
      </c>
      <c r="C71" s="156" t="str">
        <f t="shared" si="1"/>
        <v>September</v>
      </c>
      <c r="D71" s="157" t="s">
        <v>10</v>
      </c>
      <c r="E71" s="157" t="s">
        <v>75</v>
      </c>
      <c r="F71" s="157" t="s">
        <v>22</v>
      </c>
      <c r="G71" s="157">
        <v>17217.0</v>
      </c>
      <c r="H71" s="157">
        <v>20345.0</v>
      </c>
      <c r="I71" s="156">
        <f t="shared" si="10"/>
        <v>3128</v>
      </c>
      <c r="J71" s="157">
        <v>2931.0</v>
      </c>
      <c r="K71" s="156">
        <f t="shared" si="3"/>
        <v>17414</v>
      </c>
      <c r="L71" s="156">
        <f t="shared" si="4"/>
        <v>-197</v>
      </c>
      <c r="M71" s="157">
        <v>18113.0</v>
      </c>
      <c r="N71" s="157">
        <v>35211.0</v>
      </c>
      <c r="O71" s="156">
        <f t="shared" si="5"/>
        <v>17098</v>
      </c>
      <c r="P71" s="157" t="s">
        <v>77</v>
      </c>
      <c r="Q71" s="159" t="str">
        <f t="shared" si="6"/>
        <v>Outflow</v>
      </c>
    </row>
    <row r="72">
      <c r="A72" s="154">
        <v>45918.40860819444</v>
      </c>
      <c r="B72" s="155">
        <v>45913.0</v>
      </c>
      <c r="C72" s="156" t="str">
        <f t="shared" si="1"/>
        <v>September</v>
      </c>
      <c r="D72" s="157" t="s">
        <v>10</v>
      </c>
      <c r="E72" s="157" t="s">
        <v>75</v>
      </c>
      <c r="F72" s="157" t="s">
        <v>18</v>
      </c>
      <c r="G72" s="157">
        <v>4100.0</v>
      </c>
      <c r="H72" s="157">
        <v>2931.0</v>
      </c>
      <c r="I72" s="156">
        <f t="shared" si="10"/>
        <v>-1169</v>
      </c>
      <c r="J72" s="157">
        <v>0.0</v>
      </c>
      <c r="K72" s="156">
        <f t="shared" si="3"/>
        <v>2931</v>
      </c>
      <c r="L72" s="156">
        <f t="shared" si="4"/>
        <v>1169</v>
      </c>
      <c r="M72" s="157">
        <v>14981.0</v>
      </c>
      <c r="N72" s="157">
        <v>18937.0</v>
      </c>
      <c r="O72" s="156">
        <f t="shared" si="5"/>
        <v>3956</v>
      </c>
      <c r="P72" s="157" t="s">
        <v>94</v>
      </c>
      <c r="Q72" s="159" t="str">
        <f t="shared" si="6"/>
        <v>Outflow</v>
      </c>
    </row>
    <row r="73">
      <c r="A73" s="154">
        <v>45918.41092775463</v>
      </c>
      <c r="B73" s="155">
        <v>45913.0</v>
      </c>
      <c r="C73" s="156" t="str">
        <f t="shared" si="1"/>
        <v>September</v>
      </c>
      <c r="D73" s="157" t="s">
        <v>13</v>
      </c>
      <c r="E73" s="157" t="s">
        <v>75</v>
      </c>
      <c r="F73" s="157" t="s">
        <v>18</v>
      </c>
      <c r="G73" s="157">
        <v>35930.0</v>
      </c>
      <c r="H73" s="157">
        <v>259421.0</v>
      </c>
      <c r="I73" s="156">
        <f t="shared" si="10"/>
        <v>223491</v>
      </c>
      <c r="J73" s="157">
        <v>223118.0</v>
      </c>
      <c r="K73" s="156">
        <f t="shared" si="3"/>
        <v>36303</v>
      </c>
      <c r="L73" s="156">
        <f t="shared" si="4"/>
        <v>-373</v>
      </c>
      <c r="M73" s="157">
        <v>18937.0</v>
      </c>
      <c r="N73" s="157">
        <v>54830.0</v>
      </c>
      <c r="O73" s="156">
        <f t="shared" si="5"/>
        <v>35893</v>
      </c>
      <c r="P73" s="157" t="s">
        <v>94</v>
      </c>
      <c r="Q73" s="159" t="str">
        <f t="shared" si="6"/>
        <v>Outflow</v>
      </c>
    </row>
    <row r="74">
      <c r="A74" s="154">
        <v>45918.41367995371</v>
      </c>
      <c r="B74" s="155">
        <v>45913.0</v>
      </c>
      <c r="C74" s="156" t="str">
        <f t="shared" si="1"/>
        <v>September</v>
      </c>
      <c r="D74" s="157" t="s">
        <v>13</v>
      </c>
      <c r="E74" s="157" t="s">
        <v>75</v>
      </c>
      <c r="F74" s="157" t="s">
        <v>22</v>
      </c>
      <c r="G74" s="157">
        <v>25004.0</v>
      </c>
      <c r="H74" s="157">
        <v>223118.0</v>
      </c>
      <c r="I74" s="156">
        <f t="shared" si="10"/>
        <v>198114</v>
      </c>
      <c r="J74" s="157">
        <v>197913.0</v>
      </c>
      <c r="K74" s="156">
        <f t="shared" si="3"/>
        <v>25205</v>
      </c>
      <c r="L74" s="156">
        <f t="shared" si="4"/>
        <v>-201</v>
      </c>
      <c r="M74" s="157">
        <v>10163.0</v>
      </c>
      <c r="N74" s="157">
        <v>35211.0</v>
      </c>
      <c r="O74" s="156">
        <f t="shared" si="5"/>
        <v>25048</v>
      </c>
      <c r="P74" s="157" t="s">
        <v>94</v>
      </c>
      <c r="Q74" s="159" t="str">
        <f t="shared" si="6"/>
        <v>Outflow</v>
      </c>
    </row>
    <row r="75">
      <c r="A75" s="154">
        <v>45918.41572592592</v>
      </c>
      <c r="B75" s="155">
        <v>45913.0</v>
      </c>
      <c r="C75" s="156" t="str">
        <f t="shared" si="1"/>
        <v>September</v>
      </c>
      <c r="D75" s="157" t="s">
        <v>13</v>
      </c>
      <c r="E75" s="157" t="s">
        <v>75</v>
      </c>
      <c r="F75" s="157" t="s">
        <v>22</v>
      </c>
      <c r="G75" s="157">
        <v>18309.0</v>
      </c>
      <c r="H75" s="157">
        <v>197913.0</v>
      </c>
      <c r="I75" s="156">
        <f t="shared" si="10"/>
        <v>179604</v>
      </c>
      <c r="J75" s="157">
        <v>179554.0</v>
      </c>
      <c r="K75" s="156">
        <f t="shared" si="3"/>
        <v>18359</v>
      </c>
      <c r="L75" s="156">
        <f t="shared" si="4"/>
        <v>-50</v>
      </c>
      <c r="M75" s="157">
        <v>16904.0</v>
      </c>
      <c r="N75" s="157">
        <v>35449.0</v>
      </c>
      <c r="O75" s="156">
        <f t="shared" si="5"/>
        <v>18545</v>
      </c>
      <c r="P75" s="157" t="s">
        <v>80</v>
      </c>
      <c r="Q75" s="159" t="str">
        <f t="shared" si="6"/>
        <v>Outflow</v>
      </c>
    </row>
    <row r="76">
      <c r="A76" s="154">
        <v>45918.41967015046</v>
      </c>
      <c r="B76" s="155">
        <v>45914.0</v>
      </c>
      <c r="C76" s="156" t="str">
        <f t="shared" si="1"/>
        <v>September</v>
      </c>
      <c r="D76" s="157" t="s">
        <v>13</v>
      </c>
      <c r="E76" s="157" t="s">
        <v>75</v>
      </c>
      <c r="F76" s="157" t="s">
        <v>18</v>
      </c>
      <c r="G76" s="157">
        <v>42030.0</v>
      </c>
      <c r="H76" s="157">
        <v>179554.0</v>
      </c>
      <c r="I76" s="156">
        <f t="shared" si="10"/>
        <v>137524</v>
      </c>
      <c r="J76" s="157">
        <v>137344.0</v>
      </c>
      <c r="K76" s="156">
        <f t="shared" si="3"/>
        <v>42210</v>
      </c>
      <c r="L76" s="156">
        <f t="shared" si="4"/>
        <v>-180</v>
      </c>
      <c r="M76" s="157">
        <v>12710.0</v>
      </c>
      <c r="N76" s="157">
        <v>54596.0</v>
      </c>
      <c r="O76" s="156">
        <f t="shared" si="5"/>
        <v>41886</v>
      </c>
      <c r="P76" s="157" t="s">
        <v>94</v>
      </c>
      <c r="Q76" s="159" t="str">
        <f t="shared" si="6"/>
        <v>Outflow</v>
      </c>
    </row>
    <row r="77">
      <c r="A77" s="154">
        <v>45918.433365370365</v>
      </c>
      <c r="B77" s="155">
        <v>45914.0</v>
      </c>
      <c r="C77" s="156" t="str">
        <f t="shared" si="1"/>
        <v>September</v>
      </c>
      <c r="D77" s="157" t="s">
        <v>13</v>
      </c>
      <c r="E77" s="157" t="s">
        <v>75</v>
      </c>
      <c r="F77" s="157" t="s">
        <v>59</v>
      </c>
      <c r="G77" s="157">
        <v>43500.0</v>
      </c>
      <c r="H77" s="157">
        <v>137344.0</v>
      </c>
      <c r="I77" s="156">
        <f t="shared" si="10"/>
        <v>93844</v>
      </c>
      <c r="J77" s="157">
        <v>93859.0</v>
      </c>
      <c r="K77" s="156">
        <f t="shared" si="3"/>
        <v>43485</v>
      </c>
      <c r="L77" s="156">
        <f t="shared" si="4"/>
        <v>15</v>
      </c>
      <c r="M77" s="157">
        <v>11724.0</v>
      </c>
      <c r="N77" s="157">
        <v>55300.0</v>
      </c>
      <c r="O77" s="156">
        <f t="shared" si="5"/>
        <v>43576</v>
      </c>
      <c r="P77" s="157" t="s">
        <v>80</v>
      </c>
      <c r="Q77" s="159" t="str">
        <f t="shared" si="6"/>
        <v>Outflow</v>
      </c>
    </row>
    <row r="78">
      <c r="A78" s="154">
        <v>45918.43495597222</v>
      </c>
      <c r="B78" s="155">
        <v>45914.0</v>
      </c>
      <c r="C78" s="156" t="str">
        <f t="shared" si="1"/>
        <v>September</v>
      </c>
      <c r="D78" s="157" t="s">
        <v>13</v>
      </c>
      <c r="E78" s="157" t="s">
        <v>75</v>
      </c>
      <c r="F78" s="157" t="s">
        <v>18</v>
      </c>
      <c r="G78" s="157">
        <v>42650.0</v>
      </c>
      <c r="H78" s="157">
        <v>93859.0</v>
      </c>
      <c r="I78" s="156">
        <f t="shared" si="10"/>
        <v>51209</v>
      </c>
      <c r="J78" s="157">
        <v>50924.0</v>
      </c>
      <c r="K78" s="156">
        <f t="shared" si="3"/>
        <v>42935</v>
      </c>
      <c r="L78" s="156">
        <f t="shared" si="4"/>
        <v>-285</v>
      </c>
      <c r="M78" s="157">
        <v>12504.0</v>
      </c>
      <c r="N78" s="157">
        <v>55585.0</v>
      </c>
      <c r="O78" s="156">
        <f t="shared" si="5"/>
        <v>43081</v>
      </c>
      <c r="P78" s="157" t="s">
        <v>80</v>
      </c>
      <c r="Q78" s="159" t="str">
        <f t="shared" si="6"/>
        <v>Outflow</v>
      </c>
    </row>
    <row r="79">
      <c r="A79" s="154">
        <v>45918.436784074074</v>
      </c>
      <c r="B79" s="155">
        <v>45914.0</v>
      </c>
      <c r="C79" s="156" t="str">
        <f t="shared" si="1"/>
        <v>September</v>
      </c>
      <c r="D79" s="157" t="s">
        <v>13</v>
      </c>
      <c r="E79" s="157" t="s">
        <v>75</v>
      </c>
      <c r="F79" s="157" t="s">
        <v>22</v>
      </c>
      <c r="G79" s="157">
        <v>16511.0</v>
      </c>
      <c r="H79" s="157">
        <v>50924.0</v>
      </c>
      <c r="I79" s="156">
        <f t="shared" si="10"/>
        <v>34413</v>
      </c>
      <c r="J79" s="157">
        <v>34179.0</v>
      </c>
      <c r="K79" s="156">
        <f t="shared" si="3"/>
        <v>16745</v>
      </c>
      <c r="L79" s="156">
        <f t="shared" si="4"/>
        <v>-234</v>
      </c>
      <c r="M79" s="157">
        <v>18706.0</v>
      </c>
      <c r="N79" s="157">
        <v>35386.0</v>
      </c>
      <c r="O79" s="156">
        <f t="shared" si="5"/>
        <v>16680</v>
      </c>
      <c r="P79" s="157" t="s">
        <v>80</v>
      </c>
      <c r="Q79" s="159" t="str">
        <f t="shared" si="6"/>
        <v>Outflow</v>
      </c>
    </row>
    <row r="80">
      <c r="A80" s="154">
        <v>45918.44073945602</v>
      </c>
      <c r="B80" s="155">
        <v>45915.0</v>
      </c>
      <c r="C80" s="156" t="str">
        <f t="shared" si="1"/>
        <v>September</v>
      </c>
      <c r="D80" s="157" t="s">
        <v>16</v>
      </c>
      <c r="E80" s="157" t="s">
        <v>75</v>
      </c>
      <c r="F80" s="157" t="s">
        <v>38</v>
      </c>
      <c r="G80" s="157">
        <v>24380.0</v>
      </c>
      <c r="H80" s="157">
        <v>632469.0</v>
      </c>
      <c r="I80" s="156">
        <f t="shared" si="10"/>
        <v>608089</v>
      </c>
      <c r="J80" s="157">
        <v>608057.0</v>
      </c>
      <c r="K80" s="156">
        <f t="shared" si="3"/>
        <v>24412</v>
      </c>
      <c r="L80" s="156">
        <f t="shared" si="4"/>
        <v>-32</v>
      </c>
      <c r="M80" s="157">
        <v>30783.0</v>
      </c>
      <c r="N80" s="157">
        <v>55000.0</v>
      </c>
      <c r="O80" s="156">
        <f t="shared" si="5"/>
        <v>24217</v>
      </c>
      <c r="P80" s="157" t="s">
        <v>76</v>
      </c>
      <c r="Q80" s="159" t="str">
        <f t="shared" si="6"/>
        <v>Outflow</v>
      </c>
    </row>
    <row r="81">
      <c r="A81" s="154">
        <v>45918.44258210648</v>
      </c>
      <c r="B81" s="155">
        <v>45915.0</v>
      </c>
      <c r="C81" s="156" t="str">
        <f t="shared" si="1"/>
        <v>September</v>
      </c>
      <c r="D81" s="157" t="s">
        <v>13</v>
      </c>
      <c r="E81" s="157" t="s">
        <v>75</v>
      </c>
      <c r="F81" s="157" t="s">
        <v>25</v>
      </c>
      <c r="G81" s="157">
        <v>5007.0</v>
      </c>
      <c r="H81" s="157">
        <v>34179.0</v>
      </c>
      <c r="I81" s="156">
        <f t="shared" si="10"/>
        <v>29172</v>
      </c>
      <c r="J81" s="157">
        <v>29193.0</v>
      </c>
      <c r="K81" s="156">
        <f t="shared" si="3"/>
        <v>4986</v>
      </c>
      <c r="L81" s="156">
        <f t="shared" si="4"/>
        <v>21</v>
      </c>
      <c r="M81" s="157">
        <v>678.0</v>
      </c>
      <c r="N81" s="157">
        <v>5493.0</v>
      </c>
      <c r="O81" s="156">
        <f t="shared" si="5"/>
        <v>4815</v>
      </c>
      <c r="P81" s="157" t="s">
        <v>76</v>
      </c>
      <c r="Q81" s="159" t="str">
        <f t="shared" si="6"/>
        <v>Outflow</v>
      </c>
    </row>
    <row r="82">
      <c r="A82" s="154">
        <v>45918.444725520836</v>
      </c>
      <c r="B82" s="155">
        <v>45915.0</v>
      </c>
      <c r="C82" s="156" t="str">
        <f t="shared" si="1"/>
        <v>September</v>
      </c>
      <c r="D82" s="157" t="s">
        <v>16</v>
      </c>
      <c r="E82" s="157" t="s">
        <v>75</v>
      </c>
      <c r="F82" s="157" t="s">
        <v>18</v>
      </c>
      <c r="G82" s="157">
        <v>39940.0</v>
      </c>
      <c r="H82" s="157">
        <v>608057.0</v>
      </c>
      <c r="I82" s="156">
        <f t="shared" si="10"/>
        <v>568117</v>
      </c>
      <c r="J82" s="157">
        <v>568130.0</v>
      </c>
      <c r="K82" s="156">
        <f t="shared" si="3"/>
        <v>39927</v>
      </c>
      <c r="L82" s="156">
        <f t="shared" si="4"/>
        <v>13</v>
      </c>
      <c r="M82" s="157">
        <v>15257.0</v>
      </c>
      <c r="N82" s="157">
        <v>55064.0</v>
      </c>
      <c r="O82" s="156">
        <f t="shared" si="5"/>
        <v>39807</v>
      </c>
      <c r="P82" s="157" t="s">
        <v>76</v>
      </c>
      <c r="Q82" s="159" t="str">
        <f t="shared" si="6"/>
        <v>Outflow</v>
      </c>
    </row>
    <row r="83">
      <c r="A83" s="154">
        <v>45918.44706958333</v>
      </c>
      <c r="B83" s="155">
        <v>45915.0</v>
      </c>
      <c r="C83" s="156" t="str">
        <f t="shared" si="1"/>
        <v>September</v>
      </c>
      <c r="D83" s="157" t="s">
        <v>16</v>
      </c>
      <c r="E83" s="157" t="s">
        <v>75</v>
      </c>
      <c r="F83" s="157" t="s">
        <v>36</v>
      </c>
      <c r="G83" s="157">
        <v>14260.0</v>
      </c>
      <c r="H83" s="157">
        <v>568130.0</v>
      </c>
      <c r="I83" s="156">
        <f t="shared" si="10"/>
        <v>553870</v>
      </c>
      <c r="J83" s="157">
        <v>552097.0</v>
      </c>
      <c r="K83" s="156">
        <f t="shared" si="3"/>
        <v>16033</v>
      </c>
      <c r="L83" s="156">
        <f t="shared" si="4"/>
        <v>-1773</v>
      </c>
      <c r="M83" s="157">
        <v>15764.0</v>
      </c>
      <c r="N83" s="157">
        <v>30614.0</v>
      </c>
      <c r="O83" s="156">
        <f t="shared" si="5"/>
        <v>14850</v>
      </c>
      <c r="P83" s="157" t="s">
        <v>76</v>
      </c>
      <c r="Q83" s="159" t="str">
        <f t="shared" si="6"/>
        <v>Outflow</v>
      </c>
    </row>
    <row r="84">
      <c r="A84" s="154">
        <v>45918.45697508102</v>
      </c>
      <c r="B84" s="155">
        <v>45915.0</v>
      </c>
      <c r="C84" s="156" t="str">
        <f t="shared" si="1"/>
        <v>September</v>
      </c>
      <c r="D84" s="157" t="s">
        <v>13</v>
      </c>
      <c r="E84" s="157" t="s">
        <v>75</v>
      </c>
      <c r="F84" s="157" t="s">
        <v>22</v>
      </c>
      <c r="G84" s="157">
        <v>30464.0</v>
      </c>
      <c r="H84" s="157">
        <v>29193.0</v>
      </c>
      <c r="I84" s="156">
        <f t="shared" si="10"/>
        <v>-1271</v>
      </c>
      <c r="J84" s="157">
        <v>0.0</v>
      </c>
      <c r="K84" s="156">
        <f t="shared" si="3"/>
        <v>29193</v>
      </c>
      <c r="L84" s="156">
        <f t="shared" si="4"/>
        <v>1271</v>
      </c>
      <c r="M84" s="157">
        <v>2864.0</v>
      </c>
      <c r="N84" s="157">
        <v>33569.0</v>
      </c>
      <c r="O84" s="156">
        <f t="shared" si="5"/>
        <v>30705</v>
      </c>
      <c r="P84" s="157" t="s">
        <v>76</v>
      </c>
      <c r="Q84" s="159" t="str">
        <f t="shared" si="6"/>
        <v>Outflow</v>
      </c>
    </row>
    <row r="85">
      <c r="A85" s="154">
        <v>45918.839330312505</v>
      </c>
      <c r="B85" s="155">
        <v>45916.0</v>
      </c>
      <c r="C85" s="156" t="str">
        <f t="shared" si="1"/>
        <v>September</v>
      </c>
      <c r="D85" s="157" t="s">
        <v>16</v>
      </c>
      <c r="E85" s="157" t="s">
        <v>75</v>
      </c>
      <c r="F85" s="157" t="s">
        <v>22</v>
      </c>
      <c r="G85" s="157">
        <v>20021.0</v>
      </c>
      <c r="H85" s="157">
        <v>552097.0</v>
      </c>
      <c r="I85" s="156">
        <f t="shared" si="10"/>
        <v>532076</v>
      </c>
      <c r="J85" s="157">
        <v>531823.0</v>
      </c>
      <c r="K85" s="156">
        <f t="shared" si="3"/>
        <v>20274</v>
      </c>
      <c r="L85" s="156">
        <f t="shared" si="4"/>
        <v>-253</v>
      </c>
      <c r="M85" s="157">
        <v>14671.0</v>
      </c>
      <c r="N85" s="157">
        <v>34812.0</v>
      </c>
      <c r="O85" s="156">
        <f t="shared" si="5"/>
        <v>20141</v>
      </c>
      <c r="P85" s="157" t="s">
        <v>95</v>
      </c>
      <c r="Q85" s="159" t="str">
        <f t="shared" si="6"/>
        <v>Outflow</v>
      </c>
    </row>
    <row r="86">
      <c r="A86" s="154">
        <v>45918.84036502315</v>
      </c>
      <c r="B86" s="155">
        <v>45916.0</v>
      </c>
      <c r="C86" s="156" t="str">
        <f t="shared" si="1"/>
        <v>September</v>
      </c>
      <c r="D86" s="157" t="s">
        <v>16</v>
      </c>
      <c r="E86" s="157" t="s">
        <v>75</v>
      </c>
      <c r="F86" s="157" t="s">
        <v>22</v>
      </c>
      <c r="G86" s="157">
        <v>32121.0</v>
      </c>
      <c r="H86" s="157">
        <v>531823.0</v>
      </c>
      <c r="I86" s="156">
        <f t="shared" si="10"/>
        <v>499702</v>
      </c>
      <c r="J86" s="157">
        <v>499551.0</v>
      </c>
      <c r="K86" s="156">
        <f t="shared" si="3"/>
        <v>32272</v>
      </c>
      <c r="L86" s="156">
        <f t="shared" si="4"/>
        <v>-151</v>
      </c>
      <c r="M86" s="157">
        <v>2810.0</v>
      </c>
      <c r="N86" s="157">
        <v>35261.0</v>
      </c>
      <c r="O86" s="156">
        <f t="shared" si="5"/>
        <v>32451</v>
      </c>
      <c r="P86" s="157" t="s">
        <v>77</v>
      </c>
      <c r="Q86" s="159" t="str">
        <f t="shared" si="6"/>
        <v>Outflow</v>
      </c>
    </row>
    <row r="87">
      <c r="A87" s="154">
        <v>45918.84264454861</v>
      </c>
      <c r="B87" s="155">
        <v>45916.0</v>
      </c>
      <c r="C87" s="156" t="str">
        <f t="shared" si="1"/>
        <v>September</v>
      </c>
      <c r="D87" s="157" t="s">
        <v>16</v>
      </c>
      <c r="E87" s="157" t="s">
        <v>75</v>
      </c>
      <c r="F87" s="157" t="s">
        <v>18</v>
      </c>
      <c r="G87" s="157">
        <v>20000.0</v>
      </c>
      <c r="H87" s="157">
        <v>499551.0</v>
      </c>
      <c r="I87" s="156">
        <f t="shared" si="10"/>
        <v>479551</v>
      </c>
      <c r="J87" s="157">
        <v>479484.0</v>
      </c>
      <c r="K87" s="156">
        <f t="shared" si="3"/>
        <v>20067</v>
      </c>
      <c r="L87" s="156">
        <f t="shared" si="4"/>
        <v>-67</v>
      </c>
      <c r="M87" s="157">
        <v>8820.0</v>
      </c>
      <c r="N87" s="157">
        <v>28633.0</v>
      </c>
      <c r="O87" s="156">
        <f t="shared" si="5"/>
        <v>19813</v>
      </c>
      <c r="P87" s="157" t="s">
        <v>76</v>
      </c>
      <c r="Q87" s="159" t="str">
        <f t="shared" si="6"/>
        <v>Outflow</v>
      </c>
    </row>
    <row r="88">
      <c r="A88" s="154">
        <v>45918.845045821756</v>
      </c>
      <c r="B88" s="155">
        <v>45916.0</v>
      </c>
      <c r="C88" s="156" t="str">
        <f t="shared" si="1"/>
        <v>September</v>
      </c>
      <c r="D88" s="157" t="s">
        <v>16</v>
      </c>
      <c r="E88" s="157" t="s">
        <v>75</v>
      </c>
      <c r="F88" s="157" t="s">
        <v>36</v>
      </c>
      <c r="G88" s="157">
        <v>28980.0</v>
      </c>
      <c r="H88" s="157">
        <v>479484.0</v>
      </c>
      <c r="I88" s="156">
        <f t="shared" si="10"/>
        <v>450504</v>
      </c>
      <c r="J88" s="157">
        <v>447856.0</v>
      </c>
      <c r="K88" s="156">
        <f t="shared" si="3"/>
        <v>31628</v>
      </c>
      <c r="L88" s="156">
        <f t="shared" si="4"/>
        <v>-2648</v>
      </c>
      <c r="M88" s="157">
        <v>1521.0</v>
      </c>
      <c r="N88" s="157">
        <v>30884.0</v>
      </c>
      <c r="O88" s="156">
        <f t="shared" si="5"/>
        <v>29363</v>
      </c>
      <c r="P88" s="157" t="s">
        <v>76</v>
      </c>
      <c r="Q88" s="159" t="str">
        <f t="shared" si="6"/>
        <v>Outflow</v>
      </c>
    </row>
    <row r="89">
      <c r="A89" s="154">
        <v>45918.850174861116</v>
      </c>
      <c r="B89" s="155">
        <v>45916.0</v>
      </c>
      <c r="C89" s="156" t="str">
        <f t="shared" si="1"/>
        <v>September</v>
      </c>
      <c r="D89" s="157" t="s">
        <v>16</v>
      </c>
      <c r="E89" s="157" t="s">
        <v>75</v>
      </c>
      <c r="F89" s="157" t="s">
        <v>18</v>
      </c>
      <c r="G89" s="157">
        <v>26010.0</v>
      </c>
      <c r="H89" s="157">
        <v>447856.0</v>
      </c>
      <c r="I89" s="156">
        <f t="shared" si="10"/>
        <v>421846</v>
      </c>
      <c r="J89" s="157">
        <v>420882.0</v>
      </c>
      <c r="K89" s="156">
        <f t="shared" si="3"/>
        <v>26974</v>
      </c>
      <c r="L89" s="156">
        <f t="shared" si="4"/>
        <v>-964</v>
      </c>
      <c r="M89" s="157">
        <v>28633.0</v>
      </c>
      <c r="N89" s="157">
        <v>54596.0</v>
      </c>
      <c r="O89" s="156">
        <f t="shared" si="5"/>
        <v>25963</v>
      </c>
      <c r="P89" s="157" t="s">
        <v>94</v>
      </c>
      <c r="Q89" s="159" t="str">
        <f t="shared" si="6"/>
        <v>Outflow</v>
      </c>
    </row>
    <row r="90">
      <c r="A90" s="154">
        <v>45918.852054745366</v>
      </c>
      <c r="B90" s="155">
        <v>45916.0</v>
      </c>
      <c r="C90" s="156" t="str">
        <f t="shared" si="1"/>
        <v>September</v>
      </c>
      <c r="D90" s="157" t="s">
        <v>16</v>
      </c>
      <c r="E90" s="157" t="s">
        <v>75</v>
      </c>
      <c r="F90" s="157" t="s">
        <v>22</v>
      </c>
      <c r="G90" s="157">
        <v>17005.0</v>
      </c>
      <c r="H90" s="157">
        <v>420882.0</v>
      </c>
      <c r="I90" s="156">
        <f t="shared" si="10"/>
        <v>403877</v>
      </c>
      <c r="J90" s="157">
        <v>403415.0</v>
      </c>
      <c r="K90" s="156">
        <f t="shared" si="3"/>
        <v>17467</v>
      </c>
      <c r="L90" s="156">
        <f t="shared" si="4"/>
        <v>-462</v>
      </c>
      <c r="M90" s="157">
        <v>18304.0</v>
      </c>
      <c r="N90" s="157">
        <v>35161.0</v>
      </c>
      <c r="O90" s="156">
        <f t="shared" si="5"/>
        <v>16857</v>
      </c>
      <c r="P90" s="157" t="s">
        <v>94</v>
      </c>
      <c r="Q90" s="159" t="str">
        <f t="shared" si="6"/>
        <v>Outflow</v>
      </c>
    </row>
    <row r="91">
      <c r="A91" s="154">
        <v>45919.05942055555</v>
      </c>
      <c r="B91" s="155">
        <v>45917.0</v>
      </c>
      <c r="C91" s="156" t="str">
        <f t="shared" si="1"/>
        <v>September</v>
      </c>
      <c r="D91" s="157" t="s">
        <v>16</v>
      </c>
      <c r="E91" s="157" t="s">
        <v>75</v>
      </c>
      <c r="F91" s="157" t="s">
        <v>59</v>
      </c>
      <c r="G91" s="157">
        <v>53070.0</v>
      </c>
      <c r="H91" s="157">
        <v>403415.0</v>
      </c>
      <c r="I91" s="156">
        <f t="shared" si="10"/>
        <v>350345</v>
      </c>
      <c r="J91" s="157">
        <v>349053.0</v>
      </c>
      <c r="K91" s="156">
        <f t="shared" si="3"/>
        <v>54362</v>
      </c>
      <c r="L91" s="156">
        <f t="shared" si="4"/>
        <v>-1292</v>
      </c>
      <c r="M91" s="157">
        <v>2888.0</v>
      </c>
      <c r="N91" s="157">
        <v>54990.0</v>
      </c>
      <c r="O91" s="156">
        <f t="shared" si="5"/>
        <v>52102</v>
      </c>
      <c r="P91" s="157" t="s">
        <v>80</v>
      </c>
      <c r="Q91" s="159" t="str">
        <f t="shared" si="6"/>
        <v>Outflow</v>
      </c>
    </row>
    <row r="92">
      <c r="A92" s="154">
        <v>45919.06393905093</v>
      </c>
      <c r="B92" s="155">
        <v>45917.0</v>
      </c>
      <c r="C92" s="156" t="str">
        <f t="shared" si="1"/>
        <v>September</v>
      </c>
      <c r="D92" s="157" t="s">
        <v>16</v>
      </c>
      <c r="E92" s="157" t="s">
        <v>75</v>
      </c>
      <c r="F92" s="157" t="s">
        <v>22</v>
      </c>
      <c r="G92" s="157">
        <v>17016.0</v>
      </c>
      <c r="H92" s="157">
        <v>349053.0</v>
      </c>
      <c r="I92" s="156">
        <f t="shared" si="10"/>
        <v>332037</v>
      </c>
      <c r="J92" s="157">
        <v>304713.0</v>
      </c>
      <c r="K92" s="156">
        <f t="shared" si="3"/>
        <v>44340</v>
      </c>
      <c r="L92" s="156">
        <f t="shared" si="4"/>
        <v>-27324</v>
      </c>
      <c r="M92" s="157">
        <v>18304.0</v>
      </c>
      <c r="N92" s="157">
        <v>35261.0</v>
      </c>
      <c r="O92" s="156">
        <f t="shared" si="5"/>
        <v>16957</v>
      </c>
      <c r="P92" s="157" t="s">
        <v>76</v>
      </c>
      <c r="Q92" s="159" t="str">
        <f t="shared" si="6"/>
        <v>Outflow</v>
      </c>
    </row>
    <row r="93">
      <c r="A93" s="154">
        <v>45919.067930798614</v>
      </c>
      <c r="B93" s="155">
        <v>45918.0</v>
      </c>
      <c r="C93" s="156" t="str">
        <f t="shared" si="1"/>
        <v>September</v>
      </c>
      <c r="D93" s="157" t="s">
        <v>13</v>
      </c>
      <c r="E93" s="157" t="s">
        <v>75</v>
      </c>
      <c r="F93" s="157" t="s">
        <v>22</v>
      </c>
      <c r="G93" s="157">
        <v>33775.0</v>
      </c>
      <c r="H93" s="157">
        <v>34179.0</v>
      </c>
      <c r="I93" s="156">
        <f t="shared" si="10"/>
        <v>404</v>
      </c>
      <c r="J93" s="157">
        <v>0.0</v>
      </c>
      <c r="K93" s="156">
        <f t="shared" si="3"/>
        <v>34179</v>
      </c>
      <c r="L93" s="156">
        <f t="shared" si="4"/>
        <v>-404</v>
      </c>
      <c r="M93" s="157">
        <v>3085.0</v>
      </c>
      <c r="N93" s="157">
        <v>37293.0</v>
      </c>
      <c r="O93" s="156">
        <f t="shared" si="5"/>
        <v>34208</v>
      </c>
      <c r="P93" s="157" t="s">
        <v>98</v>
      </c>
      <c r="Q93" s="159" t="str">
        <f t="shared" si="6"/>
        <v>Outflow</v>
      </c>
    </row>
    <row r="94">
      <c r="A94" s="154">
        <v>45919.06920243056</v>
      </c>
      <c r="B94" s="155">
        <v>45918.0</v>
      </c>
      <c r="C94" s="156" t="str">
        <f t="shared" si="1"/>
        <v>September</v>
      </c>
      <c r="D94" s="157" t="s">
        <v>16</v>
      </c>
      <c r="E94" s="157" t="s">
        <v>75</v>
      </c>
      <c r="F94" s="157" t="s">
        <v>36</v>
      </c>
      <c r="G94" s="157">
        <v>20340.0</v>
      </c>
      <c r="H94" s="157">
        <v>304197.0</v>
      </c>
      <c r="I94" s="156">
        <f t="shared" si="10"/>
        <v>283857</v>
      </c>
      <c r="J94" s="157">
        <v>283732.0</v>
      </c>
      <c r="K94" s="156">
        <f t="shared" si="3"/>
        <v>20465</v>
      </c>
      <c r="L94" s="156">
        <f t="shared" si="4"/>
        <v>-125</v>
      </c>
      <c r="M94" s="157">
        <v>9978.0</v>
      </c>
      <c r="N94" s="157">
        <v>31086.0</v>
      </c>
      <c r="O94" s="156">
        <f t="shared" si="5"/>
        <v>21108</v>
      </c>
      <c r="P94" s="157" t="s">
        <v>98</v>
      </c>
      <c r="Q94" s="159" t="str">
        <f t="shared" si="6"/>
        <v>Outflow</v>
      </c>
    </row>
    <row r="95">
      <c r="A95" s="154">
        <v>45919.36097150463</v>
      </c>
      <c r="B95" s="155">
        <v>45918.0</v>
      </c>
      <c r="C95" s="156" t="str">
        <f t="shared" si="1"/>
        <v>September</v>
      </c>
      <c r="D95" s="157" t="s">
        <v>16</v>
      </c>
      <c r="E95" s="157" t="s">
        <v>75</v>
      </c>
      <c r="F95" s="157" t="s">
        <v>22</v>
      </c>
      <c r="G95" s="157">
        <v>15127.0</v>
      </c>
      <c r="H95" s="157">
        <v>283732.0</v>
      </c>
      <c r="I95" s="156">
        <f t="shared" si="10"/>
        <v>268605</v>
      </c>
      <c r="J95" s="157">
        <v>268642.0</v>
      </c>
      <c r="K95" s="156">
        <f t="shared" si="3"/>
        <v>15090</v>
      </c>
      <c r="L95" s="156">
        <f t="shared" si="4"/>
        <v>37</v>
      </c>
      <c r="M95" s="157">
        <v>19989.0</v>
      </c>
      <c r="N95" s="157">
        <v>35161.0</v>
      </c>
      <c r="O95" s="156">
        <f t="shared" si="5"/>
        <v>15172</v>
      </c>
      <c r="P95" s="157" t="s">
        <v>76</v>
      </c>
      <c r="Q95" s="159" t="str">
        <f t="shared" si="6"/>
        <v>Outflow</v>
      </c>
    </row>
    <row r="96">
      <c r="A96" s="160"/>
      <c r="B96" s="161"/>
      <c r="C96" s="161" t="str">
        <f t="shared" si="1"/>
        <v>December</v>
      </c>
      <c r="D96" s="162"/>
      <c r="E96" s="162"/>
      <c r="F96" s="162"/>
      <c r="G96" s="162"/>
      <c r="H96" s="162"/>
      <c r="I96" s="162">
        <f t="shared" si="10"/>
        <v>0</v>
      </c>
      <c r="J96" s="162"/>
      <c r="K96" s="162">
        <f t="shared" si="3"/>
        <v>0</v>
      </c>
      <c r="L96" s="162">
        <f t="shared" si="4"/>
        <v>0</v>
      </c>
      <c r="M96" s="162"/>
      <c r="N96" s="162"/>
      <c r="O96" s="162">
        <f t="shared" si="5"/>
        <v>0</v>
      </c>
      <c r="P96" s="162"/>
      <c r="Q96" s="163" t="str">
        <f t="shared" si="6"/>
        <v>No Data</v>
      </c>
    </row>
    <row r="97">
      <c r="A97" s="160"/>
      <c r="B97" s="161"/>
      <c r="C97" s="161" t="str">
        <f t="shared" si="1"/>
        <v>December</v>
      </c>
      <c r="D97" s="162"/>
      <c r="E97" s="162"/>
      <c r="F97" s="162"/>
      <c r="G97" s="162"/>
      <c r="H97" s="162"/>
      <c r="I97" s="162">
        <f t="shared" si="10"/>
        <v>0</v>
      </c>
      <c r="J97" s="162"/>
      <c r="K97" s="162">
        <f t="shared" si="3"/>
        <v>0</v>
      </c>
      <c r="L97" s="162">
        <f t="shared" si="4"/>
        <v>0</v>
      </c>
      <c r="M97" s="162"/>
      <c r="N97" s="162"/>
      <c r="O97" s="162">
        <f t="shared" si="5"/>
        <v>0</v>
      </c>
      <c r="P97" s="162"/>
      <c r="Q97" s="163" t="str">
        <f t="shared" si="6"/>
        <v>No Data</v>
      </c>
    </row>
    <row r="98">
      <c r="A98" s="160"/>
      <c r="B98" s="161"/>
      <c r="C98" s="161" t="str">
        <f t="shared" si="1"/>
        <v>December</v>
      </c>
      <c r="D98" s="162"/>
      <c r="E98" s="162"/>
      <c r="F98" s="162"/>
      <c r="G98" s="162"/>
      <c r="H98" s="162"/>
      <c r="I98" s="162">
        <f t="shared" si="10"/>
        <v>0</v>
      </c>
      <c r="J98" s="162"/>
      <c r="K98" s="162">
        <f t="shared" si="3"/>
        <v>0</v>
      </c>
      <c r="L98" s="162">
        <f t="shared" si="4"/>
        <v>0</v>
      </c>
      <c r="M98" s="162"/>
      <c r="N98" s="162"/>
      <c r="O98" s="162">
        <f t="shared" si="5"/>
        <v>0</v>
      </c>
      <c r="P98" s="162"/>
      <c r="Q98" s="163" t="str">
        <f t="shared" si="6"/>
        <v>No Data</v>
      </c>
    </row>
    <row r="99">
      <c r="A99" s="160"/>
      <c r="B99" s="161"/>
      <c r="C99" s="161" t="str">
        <f t="shared" si="1"/>
        <v>December</v>
      </c>
      <c r="D99" s="162"/>
      <c r="E99" s="162"/>
      <c r="F99" s="162"/>
      <c r="G99" s="162"/>
      <c r="H99" s="162"/>
      <c r="I99" s="162">
        <f t="shared" si="10"/>
        <v>0</v>
      </c>
      <c r="J99" s="162"/>
      <c r="K99" s="162">
        <f t="shared" si="3"/>
        <v>0</v>
      </c>
      <c r="L99" s="162">
        <f t="shared" si="4"/>
        <v>0</v>
      </c>
      <c r="M99" s="162"/>
      <c r="N99" s="162"/>
      <c r="O99" s="162">
        <f t="shared" si="5"/>
        <v>0</v>
      </c>
      <c r="P99" s="162"/>
      <c r="Q99" s="163" t="str">
        <f t="shared" si="6"/>
        <v>No Data</v>
      </c>
    </row>
    <row r="100">
      <c r="A100" s="160"/>
      <c r="B100" s="161"/>
      <c r="C100" s="161" t="str">
        <f t="shared" si="1"/>
        <v>December</v>
      </c>
      <c r="D100" s="162"/>
      <c r="E100" s="162"/>
      <c r="F100" s="162"/>
      <c r="G100" s="162"/>
      <c r="H100" s="162"/>
      <c r="I100" s="162">
        <f t="shared" si="10"/>
        <v>0</v>
      </c>
      <c r="J100" s="162"/>
      <c r="K100" s="162">
        <f t="shared" si="3"/>
        <v>0</v>
      </c>
      <c r="L100" s="162">
        <f t="shared" si="4"/>
        <v>0</v>
      </c>
      <c r="M100" s="162"/>
      <c r="N100" s="162"/>
      <c r="O100" s="162">
        <f t="shared" si="5"/>
        <v>0</v>
      </c>
      <c r="P100" s="162"/>
      <c r="Q100" s="163" t="str">
        <f t="shared" si="6"/>
        <v>No Data</v>
      </c>
    </row>
    <row r="101">
      <c r="A101" s="160"/>
      <c r="B101" s="161"/>
      <c r="C101" s="161" t="str">
        <f t="shared" si="1"/>
        <v>December</v>
      </c>
      <c r="D101" s="162"/>
      <c r="E101" s="162"/>
      <c r="F101" s="162"/>
      <c r="G101" s="162"/>
      <c r="H101" s="162"/>
      <c r="I101" s="162">
        <f t="shared" si="10"/>
        <v>0</v>
      </c>
      <c r="J101" s="162"/>
      <c r="K101" s="162">
        <f t="shared" si="3"/>
        <v>0</v>
      </c>
      <c r="L101" s="162">
        <f t="shared" si="4"/>
        <v>0</v>
      </c>
      <c r="M101" s="162"/>
      <c r="N101" s="162"/>
      <c r="O101" s="162">
        <f t="shared" si="5"/>
        <v>0</v>
      </c>
      <c r="P101" s="162"/>
      <c r="Q101" s="163" t="str">
        <f t="shared" si="6"/>
        <v>No Data</v>
      </c>
    </row>
    <row r="102">
      <c r="A102" s="160"/>
      <c r="B102" s="161"/>
      <c r="C102" s="161" t="str">
        <f t="shared" si="1"/>
        <v>December</v>
      </c>
      <c r="D102" s="162"/>
      <c r="E102" s="162"/>
      <c r="F102" s="162"/>
      <c r="G102" s="162"/>
      <c r="H102" s="162"/>
      <c r="I102" s="162">
        <f t="shared" si="10"/>
        <v>0</v>
      </c>
      <c r="J102" s="162"/>
      <c r="K102" s="162">
        <f t="shared" si="3"/>
        <v>0</v>
      </c>
      <c r="L102" s="162">
        <f t="shared" si="4"/>
        <v>0</v>
      </c>
      <c r="M102" s="162"/>
      <c r="N102" s="162"/>
      <c r="O102" s="162">
        <f t="shared" si="5"/>
        <v>0</v>
      </c>
      <c r="P102" s="162"/>
      <c r="Q102" s="163" t="str">
        <f t="shared" si="6"/>
        <v>No Data</v>
      </c>
    </row>
    <row r="103">
      <c r="A103" s="160"/>
      <c r="B103" s="161"/>
      <c r="C103" s="161" t="str">
        <f t="shared" si="1"/>
        <v>December</v>
      </c>
      <c r="D103" s="162"/>
      <c r="E103" s="162"/>
      <c r="F103" s="162"/>
      <c r="G103" s="162"/>
      <c r="H103" s="162"/>
      <c r="I103" s="162">
        <f t="shared" si="10"/>
        <v>0</v>
      </c>
      <c r="J103" s="162"/>
      <c r="K103" s="162">
        <f t="shared" si="3"/>
        <v>0</v>
      </c>
      <c r="L103" s="162">
        <f t="shared" si="4"/>
        <v>0</v>
      </c>
      <c r="M103" s="162"/>
      <c r="N103" s="162"/>
      <c r="O103" s="162">
        <f t="shared" si="5"/>
        <v>0</v>
      </c>
      <c r="P103" s="162"/>
      <c r="Q103" s="163" t="str">
        <f t="shared" si="6"/>
        <v>No Data</v>
      </c>
    </row>
    <row r="104">
      <c r="A104" s="164"/>
      <c r="B104" s="165"/>
      <c r="C104" s="165" t="str">
        <f t="shared" si="1"/>
        <v>December</v>
      </c>
      <c r="D104" s="166"/>
      <c r="E104" s="166"/>
      <c r="F104" s="166"/>
      <c r="G104" s="166"/>
      <c r="H104" s="166"/>
      <c r="I104" s="166">
        <f t="shared" si="10"/>
        <v>0</v>
      </c>
      <c r="J104" s="166"/>
      <c r="K104" s="166">
        <f t="shared" si="3"/>
        <v>0</v>
      </c>
      <c r="L104" s="166">
        <f t="shared" si="4"/>
        <v>0</v>
      </c>
      <c r="M104" s="166"/>
      <c r="N104" s="166"/>
      <c r="O104" s="166">
        <f t="shared" si="5"/>
        <v>0</v>
      </c>
      <c r="P104" s="166"/>
      <c r="Q104" s="167" t="str">
        <f t="shared" si="6"/>
        <v>No Data</v>
      </c>
    </row>
    <row r="105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</row>
    <row r="106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</row>
    <row r="107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</row>
    <row r="108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</row>
    <row r="109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</row>
    <row r="110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</row>
    <row r="11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</row>
    <row r="112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</row>
    <row r="113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</row>
    <row r="114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</row>
    <row r="115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</row>
    <row r="116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</row>
    <row r="117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</row>
    <row r="118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</row>
    <row r="119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</row>
    <row r="120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</row>
    <row r="12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</row>
    <row r="122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</row>
    <row r="123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</row>
    <row r="124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</row>
    <row r="125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</row>
    <row r="126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</row>
    <row r="127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</row>
    <row r="128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</row>
    <row r="129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</row>
    <row r="130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</row>
    <row r="13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</row>
    <row r="132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</row>
    <row r="133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</row>
    <row r="134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</row>
    <row r="135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</row>
    <row r="136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</row>
    <row r="137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</row>
    <row r="138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</row>
    <row r="139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</row>
    <row r="140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</row>
    <row r="14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</row>
    <row r="142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</row>
    <row r="143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</row>
    <row r="144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</row>
    <row r="145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</row>
    <row r="146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</row>
    <row r="147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</row>
    <row r="148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</row>
    <row r="149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</row>
    <row r="150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</row>
    <row r="15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</row>
    <row r="152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</row>
    <row r="153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</row>
    <row r="154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</row>
    <row r="155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</row>
    <row r="156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</row>
    <row r="157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</row>
    <row r="158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</row>
    <row r="159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</row>
    <row r="160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</row>
    <row r="16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</row>
    <row r="162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</row>
    <row r="163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</row>
    <row r="164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</row>
    <row r="165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</row>
    <row r="166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</row>
    <row r="167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</row>
    <row r="168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</row>
    <row r="169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</row>
    <row r="170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</row>
    <row r="17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</row>
    <row r="172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</row>
    <row r="173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</row>
    <row r="174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29"/>
    <col customWidth="1" min="5" max="5" width="12.71"/>
    <col customWidth="1" min="6" max="6" width="9.86"/>
    <col customWidth="1" min="7" max="7" width="4.43"/>
    <col customWidth="1" min="8" max="8" width="19.29"/>
    <col customWidth="1" min="12" max="12" width="12.71"/>
    <col customWidth="1" min="13" max="13" width="9.86"/>
    <col customWidth="1" min="14" max="14" width="4.43"/>
    <col customWidth="1" min="15" max="15" width="19.29"/>
    <col customWidth="1" min="19" max="19" width="12.71"/>
    <col customWidth="1" min="20" max="20" width="9.86"/>
  </cols>
  <sheetData>
    <row r="1">
      <c r="A1" s="169" t="s">
        <v>99</v>
      </c>
      <c r="H1" s="169" t="s">
        <v>100</v>
      </c>
      <c r="O1" s="169" t="s">
        <v>101</v>
      </c>
    </row>
    <row r="2">
      <c r="A2" s="170" t="s">
        <v>62</v>
      </c>
      <c r="B2" s="170" t="s">
        <v>63</v>
      </c>
      <c r="C2" s="170" t="s">
        <v>44</v>
      </c>
      <c r="D2" s="170" t="s">
        <v>102</v>
      </c>
      <c r="E2" s="170" t="s">
        <v>103</v>
      </c>
      <c r="F2" s="170" t="s">
        <v>104</v>
      </c>
      <c r="G2" s="171"/>
      <c r="H2" s="170" t="s">
        <v>62</v>
      </c>
      <c r="I2" s="170" t="s">
        <v>63</v>
      </c>
      <c r="J2" s="170" t="s">
        <v>44</v>
      </c>
      <c r="K2" s="170" t="s">
        <v>102</v>
      </c>
      <c r="L2" s="170" t="s">
        <v>103</v>
      </c>
      <c r="M2" s="170" t="s">
        <v>104</v>
      </c>
      <c r="N2" s="171"/>
      <c r="O2" s="170" t="s">
        <v>62</v>
      </c>
      <c r="P2" s="170" t="s">
        <v>63</v>
      </c>
      <c r="Q2" s="170" t="s">
        <v>44</v>
      </c>
      <c r="R2" s="170" t="s">
        <v>102</v>
      </c>
      <c r="S2" s="170" t="s">
        <v>103</v>
      </c>
      <c r="T2" s="170" t="s">
        <v>104</v>
      </c>
    </row>
    <row r="3">
      <c r="A3" s="172">
        <f>IFERROR(__xludf.DUMMYFUNCTION("FILTER(TSM!A:A,TSM!D:D=""Tank 1"")"),45903.44634259259)</f>
        <v>45903.44634</v>
      </c>
      <c r="B3" s="173">
        <f>IFERROR(vlookup(A3,TSM!A:Q,2,FALSE),"")</f>
        <v>45903</v>
      </c>
      <c r="C3" s="93">
        <f>IFERROR(vlookup(A3,TSM!A:Q,8,FALSE),"")</f>
        <v>761882</v>
      </c>
      <c r="D3" s="93">
        <f>IFERROR(vlookup(A3,TSM!A:Q,10,FALSE),"")</f>
        <v>751610</v>
      </c>
      <c r="E3" s="93" t="str">
        <f>IF(D3=C4,"Yes","No")</f>
        <v>Yes</v>
      </c>
      <c r="H3" s="172">
        <f>IFERROR(__xludf.DUMMYFUNCTION("FILTER(TSM!A:A,TSM!D:D=""Tank 2"")"),45904.48778946759)</f>
        <v>45904.48779</v>
      </c>
      <c r="I3" s="173">
        <f>IFERROR(vlookup(H3,TSM!A:Q,2,FALSE),"")</f>
        <v>45903</v>
      </c>
      <c r="J3" s="93">
        <f>IFERROR(vlookup(H3,TSM!A:Q,8,FALSE),"")</f>
        <v>35325</v>
      </c>
      <c r="K3" s="93">
        <f>IFERROR(vlookup(H3,TSM!A:Q,10,FALSE),"")</f>
        <v>6664</v>
      </c>
      <c r="O3" s="172">
        <f>IFERROR(__xludf.DUMMYFUNCTION("FILTER(TSM!A:A,TSM!D:D=""Tank 3"")"),45918.44073945602)</f>
        <v>45918.44074</v>
      </c>
      <c r="P3" s="173">
        <f>IFERROR(vlookup(O3,TSM!A:Q,2,FALSE),"")</f>
        <v>45915</v>
      </c>
      <c r="Q3" s="93">
        <f>IFERROR(vlookup(O3,TSM!A:Q,8,FALSE),"")</f>
        <v>632469</v>
      </c>
      <c r="R3" s="93">
        <f>IFERROR(vlookup(O3,TSM!A:Q,10,FALSE),"")</f>
        <v>608057</v>
      </c>
    </row>
    <row r="4">
      <c r="A4" s="172">
        <f>IFERROR(__xludf.DUMMYFUNCTION("""COMPUTED_VALUE"""),45903.663402777776)</f>
        <v>45903.6634</v>
      </c>
      <c r="B4" s="173">
        <f>IFERROR(vlookup(A4,TSM!A:Q,2,FALSE),"")</f>
        <v>45903</v>
      </c>
      <c r="C4" s="93">
        <f>IFERROR(vlookup(A4,TSM!A:Q,8,FALSE),"")</f>
        <v>751610</v>
      </c>
      <c r="D4" s="93">
        <f>IFERROR(vlookup(A4,TSM!A:Q,10,FALSE),"")</f>
        <v>722035</v>
      </c>
      <c r="E4" s="93" t="str">
        <f t="shared" ref="E4:E51" si="1">IF(D3=C4,"Yes","No")</f>
        <v>Yes</v>
      </c>
      <c r="F4" s="93">
        <f t="shared" ref="F4:F1001" si="2">C4-D3</f>
        <v>0</v>
      </c>
      <c r="H4" s="172">
        <f>IFERROR(__xludf.DUMMYFUNCTION("""COMPUTED_VALUE"""),45904.49286761574)</f>
        <v>45904.49287</v>
      </c>
      <c r="I4" s="173">
        <f>IFERROR(vlookup(H4,TSM!A:Q,2,FALSE),"")</f>
        <v>45903</v>
      </c>
      <c r="J4" s="93">
        <f>IFERROR(vlookup(H4,TSM!A:Q,8,FALSE),"")</f>
        <v>6664</v>
      </c>
      <c r="K4" s="93">
        <f>IFERROR(vlookup(H4,TSM!A:Q,10,FALSE),"")</f>
        <v>0</v>
      </c>
      <c r="L4" s="93" t="str">
        <f t="shared" ref="L4:L34" si="3">IF(K3=J4,"Yes","No")</f>
        <v>Yes</v>
      </c>
      <c r="M4" s="93">
        <f t="shared" ref="M4:M1001" si="4">J4-K3</f>
        <v>0</v>
      </c>
      <c r="O4" s="172">
        <f>IFERROR(__xludf.DUMMYFUNCTION("""COMPUTED_VALUE"""),45918.444725520836)</f>
        <v>45918.44473</v>
      </c>
      <c r="P4" s="173">
        <f>IFERROR(vlookup(O4,TSM!A:Q,2,FALSE),"")</f>
        <v>45915</v>
      </c>
      <c r="Q4" s="93">
        <f>IFERROR(vlookup(O4,TSM!A:Q,8,FALSE),"")</f>
        <v>608057</v>
      </c>
      <c r="R4" s="93">
        <f>IFERROR(vlookup(O4,TSM!A:Q,10,FALSE),"")</f>
        <v>568130</v>
      </c>
      <c r="S4" s="93" t="str">
        <f t="shared" ref="S4:S15" si="5">IF(R3=Q4,"Yes","No")</f>
        <v>Yes</v>
      </c>
      <c r="T4" s="93">
        <f t="shared" ref="T4:T15" si="6">R3-Q4</f>
        <v>0</v>
      </c>
    </row>
    <row r="5">
      <c r="A5" s="172">
        <f>IFERROR(__xludf.DUMMYFUNCTION("""COMPUTED_VALUE"""),45903.67787037037)</f>
        <v>45903.67787</v>
      </c>
      <c r="B5" s="173">
        <f>IFERROR(vlookup(A5,TSM!A:Q,2,FALSE),"")</f>
        <v>45903</v>
      </c>
      <c r="C5" s="93">
        <f>IFERROR(vlookup(A5,TSM!A:Q,8,FALSE),"")</f>
        <v>722035</v>
      </c>
      <c r="D5" s="93">
        <f>IFERROR(vlookup(A5,TSM!A:Q,10,FALSE),"")</f>
        <v>706470</v>
      </c>
      <c r="E5" s="93" t="str">
        <f t="shared" si="1"/>
        <v>Yes</v>
      </c>
      <c r="F5" s="93">
        <f t="shared" si="2"/>
        <v>0</v>
      </c>
      <c r="H5" s="172">
        <f>IFERROR(__xludf.DUMMYFUNCTION("""COMPUTED_VALUE"""),45905.95327612269)</f>
        <v>45905.95328</v>
      </c>
      <c r="I5" s="173">
        <f>IFERROR(vlookup(H5,TSM!A:Q,2,FALSE),"")</f>
        <v>45905</v>
      </c>
      <c r="J5" s="93">
        <f>IFERROR(vlookup(H5,TSM!A:Q,8,FALSE),"")</f>
        <v>0</v>
      </c>
      <c r="K5" s="93">
        <f>IFERROR(vlookup(H5,TSM!A:Q,10,FALSE),"")</f>
        <v>45409</v>
      </c>
      <c r="L5" s="93" t="str">
        <f t="shared" si="3"/>
        <v>Yes</v>
      </c>
      <c r="M5" s="93">
        <f t="shared" si="4"/>
        <v>0</v>
      </c>
      <c r="O5" s="172">
        <f>IFERROR(__xludf.DUMMYFUNCTION("""COMPUTED_VALUE"""),45918.44706958333)</f>
        <v>45918.44707</v>
      </c>
      <c r="P5" s="173">
        <f>IFERROR(vlookup(O5,TSM!A:Q,2,FALSE),"")</f>
        <v>45915</v>
      </c>
      <c r="Q5" s="93">
        <f>IFERROR(vlookup(O5,TSM!A:Q,8,FALSE),"")</f>
        <v>568130</v>
      </c>
      <c r="R5" s="93">
        <f>IFERROR(vlookup(O5,TSM!A:Q,10,FALSE),"")</f>
        <v>552097</v>
      </c>
      <c r="S5" s="93" t="str">
        <f t="shared" si="5"/>
        <v>Yes</v>
      </c>
      <c r="T5" s="93">
        <f t="shared" si="6"/>
        <v>0</v>
      </c>
    </row>
    <row r="6">
      <c r="A6" s="172">
        <f>IFERROR(__xludf.DUMMYFUNCTION("""COMPUTED_VALUE"""),45904.197430555556)</f>
        <v>45904.19743</v>
      </c>
      <c r="B6" s="173">
        <f>IFERROR(vlookup(A6,TSM!A:Q,2,FALSE),"")</f>
        <v>45904</v>
      </c>
      <c r="C6" s="93">
        <f>IFERROR(vlookup(A6,TSM!A:Q,8,FALSE),"")</f>
        <v>706470</v>
      </c>
      <c r="D6" s="93">
        <f>IFERROR(vlookup(A6,TSM!A:Q,10,FALSE),"")</f>
        <v>657907</v>
      </c>
      <c r="E6" s="93" t="str">
        <f t="shared" si="1"/>
        <v>Yes</v>
      </c>
      <c r="F6" s="93">
        <f t="shared" si="2"/>
        <v>0</v>
      </c>
      <c r="H6" s="172">
        <f>IFERROR(__xludf.DUMMYFUNCTION("""COMPUTED_VALUE"""),45905.95424071759)</f>
        <v>45905.95424</v>
      </c>
      <c r="I6" s="173">
        <f>IFERROR(vlookup(H6,TSM!A:Q,2,FALSE),"")</f>
        <v>45905</v>
      </c>
      <c r="J6" s="93">
        <f>IFERROR(vlookup(H6,TSM!A:Q,8,FALSE),"")</f>
        <v>45409</v>
      </c>
      <c r="K6" s="93">
        <f>IFERROR(vlookup(H6,TSM!A:Q,10,FALSE),"")</f>
        <v>90844</v>
      </c>
      <c r="L6" s="93" t="str">
        <f t="shared" si="3"/>
        <v>Yes</v>
      </c>
      <c r="M6" s="93">
        <f t="shared" si="4"/>
        <v>0</v>
      </c>
      <c r="O6" s="172">
        <f>IFERROR(__xludf.DUMMYFUNCTION("""COMPUTED_VALUE"""),45918.839330312505)</f>
        <v>45918.83933</v>
      </c>
      <c r="P6" s="173">
        <f>IFERROR(vlookup(O6,TSM!A:Q,2,FALSE),"")</f>
        <v>45916</v>
      </c>
      <c r="Q6" s="93">
        <f>IFERROR(vlookup(O6,TSM!A:Q,8,FALSE),"")</f>
        <v>552097</v>
      </c>
      <c r="R6" s="93">
        <f>IFERROR(vlookup(O6,TSM!A:Q,10,FALSE),"")</f>
        <v>531823</v>
      </c>
      <c r="S6" s="93" t="str">
        <f t="shared" si="5"/>
        <v>Yes</v>
      </c>
      <c r="T6" s="93">
        <f t="shared" si="6"/>
        <v>0</v>
      </c>
    </row>
    <row r="7">
      <c r="A7" s="172">
        <f>IFERROR(__xludf.DUMMYFUNCTION("""COMPUTED_VALUE"""),45904.41326388889)</f>
        <v>45904.41326</v>
      </c>
      <c r="B7" s="173">
        <f>IFERROR(vlookup(A7,TSM!A:Q,2,FALSE),"")</f>
        <v>45904</v>
      </c>
      <c r="C7" s="93">
        <f>IFERROR(vlookup(A7,TSM!A:Q,8,FALSE),"")</f>
        <v>657907</v>
      </c>
      <c r="D7" s="93">
        <f>IFERROR(vlookup(A7,TSM!A:Q,10,FALSE),"")</f>
        <v>625541</v>
      </c>
      <c r="E7" s="93" t="str">
        <f t="shared" si="1"/>
        <v>Yes</v>
      </c>
      <c r="F7" s="93">
        <f t="shared" si="2"/>
        <v>0</v>
      </c>
      <c r="H7" s="172">
        <f>IFERROR(__xludf.DUMMYFUNCTION("""COMPUTED_VALUE"""),45905.95512831019)</f>
        <v>45905.95513</v>
      </c>
      <c r="I7" s="173">
        <f>IFERROR(vlookup(H7,TSM!A:Q,2,FALSE),"")</f>
        <v>45905</v>
      </c>
      <c r="J7" s="93">
        <f>IFERROR(vlookup(H7,TSM!A:Q,8,FALSE),"")</f>
        <v>90844</v>
      </c>
      <c r="K7" s="93">
        <f>IFERROR(vlookup(H7,TSM!A:Q,10,FALSE),"")</f>
        <v>130189</v>
      </c>
      <c r="L7" s="93" t="str">
        <f t="shared" si="3"/>
        <v>Yes</v>
      </c>
      <c r="M7" s="93">
        <f t="shared" si="4"/>
        <v>0</v>
      </c>
      <c r="O7" s="172">
        <f>IFERROR(__xludf.DUMMYFUNCTION("""COMPUTED_VALUE"""),45918.84036502315)</f>
        <v>45918.84037</v>
      </c>
      <c r="P7" s="173">
        <f>IFERROR(vlookup(O7,TSM!A:Q,2,FALSE),"")</f>
        <v>45916</v>
      </c>
      <c r="Q7" s="93">
        <f>IFERROR(vlookup(O7,TSM!A:Q,8,FALSE),"")</f>
        <v>531823</v>
      </c>
      <c r="R7" s="93">
        <f>IFERROR(vlookup(O7,TSM!A:Q,10,FALSE),"")</f>
        <v>499551</v>
      </c>
      <c r="S7" s="93" t="str">
        <f t="shared" si="5"/>
        <v>Yes</v>
      </c>
      <c r="T7" s="93">
        <f t="shared" si="6"/>
        <v>0</v>
      </c>
    </row>
    <row r="8">
      <c r="A8" s="172">
        <f>IFERROR(__xludf.DUMMYFUNCTION("""COMPUTED_VALUE"""),45904.425833333335)</f>
        <v>45904.42583</v>
      </c>
      <c r="B8" s="173">
        <f>IFERROR(vlookup(A8,TSM!A:Q,2,FALSE),"")</f>
        <v>45904</v>
      </c>
      <c r="C8" s="93">
        <f>IFERROR(vlookup(A8,TSM!A:Q,8,FALSE),"")</f>
        <v>625541</v>
      </c>
      <c r="D8" s="93">
        <f>IFERROR(vlookup(A8,TSM!A:Q,10,FALSE),"")</f>
        <v>613101</v>
      </c>
      <c r="E8" s="93" t="str">
        <f t="shared" si="1"/>
        <v>Yes</v>
      </c>
      <c r="F8" s="93">
        <f t="shared" si="2"/>
        <v>0</v>
      </c>
      <c r="H8" s="172">
        <f>IFERROR(__xludf.DUMMYFUNCTION("""COMPUTED_VALUE"""),45905.95604160879)</f>
        <v>45905.95604</v>
      </c>
      <c r="I8" s="173">
        <f>IFERROR(vlookup(H8,TSM!A:Q,2,FALSE),"")</f>
        <v>45905</v>
      </c>
      <c r="J8" s="93">
        <f>IFERROR(vlookup(H8,TSM!A:Q,8,FALSE),"")</f>
        <v>130189</v>
      </c>
      <c r="K8" s="93">
        <f>IFERROR(vlookup(H8,TSM!A:Q,10,FALSE),"")</f>
        <v>175612</v>
      </c>
      <c r="L8" s="93" t="str">
        <f t="shared" si="3"/>
        <v>Yes</v>
      </c>
      <c r="M8" s="93">
        <f t="shared" si="4"/>
        <v>0</v>
      </c>
      <c r="O8" s="172">
        <f>IFERROR(__xludf.DUMMYFUNCTION("""COMPUTED_VALUE"""),45918.84264454861)</f>
        <v>45918.84264</v>
      </c>
      <c r="P8" s="173">
        <f>IFERROR(vlookup(O8,TSM!A:Q,2,FALSE),"")</f>
        <v>45916</v>
      </c>
      <c r="Q8" s="93">
        <f>IFERROR(vlookup(O8,TSM!A:Q,8,FALSE),"")</f>
        <v>499551</v>
      </c>
      <c r="R8" s="93">
        <f>IFERROR(vlookup(O8,TSM!A:Q,10,FALSE),"")</f>
        <v>479484</v>
      </c>
      <c r="S8" s="93" t="str">
        <f t="shared" si="5"/>
        <v>Yes</v>
      </c>
      <c r="T8" s="93">
        <f t="shared" si="6"/>
        <v>0</v>
      </c>
    </row>
    <row r="9">
      <c r="A9" s="172">
        <f>IFERROR(__xludf.DUMMYFUNCTION("""COMPUTED_VALUE"""),45904.65219907407)</f>
        <v>45904.6522</v>
      </c>
      <c r="B9" s="173">
        <f>IFERROR(vlookup(A9,TSM!A:Q,2,FALSE),"")</f>
        <v>45904</v>
      </c>
      <c r="C9" s="93">
        <f>IFERROR(vlookup(A9,TSM!A:Q,8,FALSE),"")</f>
        <v>613101</v>
      </c>
      <c r="D9" s="93">
        <f>IFERROR(vlookup(A9,TSM!A:Q,10,FALSE),"")</f>
        <v>584073</v>
      </c>
      <c r="E9" s="93" t="str">
        <f t="shared" si="1"/>
        <v>Yes</v>
      </c>
      <c r="F9" s="93">
        <f t="shared" si="2"/>
        <v>0</v>
      </c>
      <c r="H9" s="172">
        <f>IFERROR(__xludf.DUMMYFUNCTION("""COMPUTED_VALUE"""),45905.95708886574)</f>
        <v>45905.95709</v>
      </c>
      <c r="I9" s="173">
        <f>IFERROR(vlookup(H9,TSM!A:Q,2,FALSE),"")</f>
        <v>45905</v>
      </c>
      <c r="J9" s="93">
        <f>IFERROR(vlookup(H9,TSM!A:Q,8,FALSE),"")</f>
        <v>175612</v>
      </c>
      <c r="K9" s="93">
        <f>IFERROR(vlookup(H9,TSM!A:Q,10,FALSE),"")</f>
        <v>220628</v>
      </c>
      <c r="L9" s="93" t="str">
        <f t="shared" si="3"/>
        <v>Yes</v>
      </c>
      <c r="M9" s="93">
        <f t="shared" si="4"/>
        <v>0</v>
      </c>
      <c r="O9" s="172">
        <f>IFERROR(__xludf.DUMMYFUNCTION("""COMPUTED_VALUE"""),45918.845045821756)</f>
        <v>45918.84505</v>
      </c>
      <c r="P9" s="173">
        <f>IFERROR(vlookup(O9,TSM!A:Q,2,FALSE),"")</f>
        <v>45916</v>
      </c>
      <c r="Q9" s="93">
        <f>IFERROR(vlookup(O9,TSM!A:Q,8,FALSE),"")</f>
        <v>479484</v>
      </c>
      <c r="R9" s="93">
        <f>IFERROR(vlookup(O9,TSM!A:Q,10,FALSE),"")</f>
        <v>447856</v>
      </c>
      <c r="S9" s="93" t="str">
        <f t="shared" si="5"/>
        <v>Yes</v>
      </c>
      <c r="T9" s="93">
        <f t="shared" si="6"/>
        <v>0</v>
      </c>
    </row>
    <row r="10">
      <c r="A10" s="172">
        <f>IFERROR(__xludf.DUMMYFUNCTION("""COMPUTED_VALUE"""),45906.15311564815)</f>
        <v>45906.15312</v>
      </c>
      <c r="B10" s="173">
        <f>IFERROR(vlookup(A10,TSM!A:Q,2,FALSE),"")</f>
        <v>45905</v>
      </c>
      <c r="C10" s="93">
        <f>IFERROR(vlookup(A10,TSM!A:Q,8,FALSE),"")</f>
        <v>581896</v>
      </c>
      <c r="D10" s="93">
        <f>IFERROR(vlookup(A10,TSM!A:Q,10,FALSE),"")</f>
        <v>555150</v>
      </c>
      <c r="E10" s="93" t="str">
        <f t="shared" si="1"/>
        <v>No</v>
      </c>
      <c r="F10" s="93">
        <f t="shared" si="2"/>
        <v>-2177</v>
      </c>
      <c r="H10" s="172">
        <f>IFERROR(__xludf.DUMMYFUNCTION("""COMPUTED_VALUE"""),45905.958537557875)</f>
        <v>45905.95854</v>
      </c>
      <c r="I10" s="173">
        <f>IFERROR(vlookup(H10,TSM!A:Q,2,FALSE),"")</f>
        <v>45905</v>
      </c>
      <c r="J10" s="93">
        <f>IFERROR(vlookup(H10,TSM!A:Q,8,FALSE),"")</f>
        <v>220628</v>
      </c>
      <c r="K10" s="93">
        <f>IFERROR(vlookup(H10,TSM!A:Q,10,FALSE),"")</f>
        <v>265540</v>
      </c>
      <c r="L10" s="93" t="str">
        <f t="shared" si="3"/>
        <v>Yes</v>
      </c>
      <c r="M10" s="93">
        <f t="shared" si="4"/>
        <v>0</v>
      </c>
      <c r="O10" s="172">
        <f>IFERROR(__xludf.DUMMYFUNCTION("""COMPUTED_VALUE"""),45918.850174861116)</f>
        <v>45918.85017</v>
      </c>
      <c r="P10" s="173">
        <f>IFERROR(vlookup(O10,TSM!A:Q,2,FALSE),"")</f>
        <v>45916</v>
      </c>
      <c r="Q10" s="93">
        <f>IFERROR(vlookup(O10,TSM!A:Q,8,FALSE),"")</f>
        <v>447856</v>
      </c>
      <c r="R10" s="93">
        <f>IFERROR(vlookup(O10,TSM!A:Q,10,FALSE),"")</f>
        <v>420882</v>
      </c>
      <c r="S10" s="93" t="str">
        <f t="shared" si="5"/>
        <v>Yes</v>
      </c>
      <c r="T10" s="93">
        <f t="shared" si="6"/>
        <v>0</v>
      </c>
    </row>
    <row r="11">
      <c r="A11" s="172">
        <f>IFERROR(__xludf.DUMMYFUNCTION("""COMPUTED_VALUE"""),45906.15418841435)</f>
        <v>45906.15419</v>
      </c>
      <c r="B11" s="173">
        <f>IFERROR(vlookup(A11,TSM!A:Q,2,FALSE),"")</f>
        <v>45905</v>
      </c>
      <c r="C11" s="93">
        <f>IFERROR(vlookup(A11,TSM!A:Q,8,FALSE),"")</f>
        <v>555150</v>
      </c>
      <c r="D11" s="93">
        <f>IFERROR(vlookup(A11,TSM!A:Q,10,FALSE),"")</f>
        <v>541880</v>
      </c>
      <c r="E11" s="93" t="str">
        <f t="shared" si="1"/>
        <v>Yes</v>
      </c>
      <c r="F11" s="93">
        <f t="shared" si="2"/>
        <v>0</v>
      </c>
      <c r="H11" s="172">
        <f>IFERROR(__xludf.DUMMYFUNCTION("""COMPUTED_VALUE"""),45905.98246857639)</f>
        <v>45905.98247</v>
      </c>
      <c r="I11" s="173">
        <f>IFERROR(vlookup(H11,TSM!A:Q,2,FALSE),"")</f>
        <v>45905</v>
      </c>
      <c r="J11" s="93">
        <f>IFERROR(vlookup(H11,TSM!A:Q,8,FALSE),"")</f>
        <v>265540</v>
      </c>
      <c r="K11" s="93">
        <f>IFERROR(vlookup(H11,TSM!A:Q,10,FALSE),"")</f>
        <v>310349</v>
      </c>
      <c r="L11" s="93" t="str">
        <f t="shared" si="3"/>
        <v>Yes</v>
      </c>
      <c r="M11" s="93">
        <f t="shared" si="4"/>
        <v>0</v>
      </c>
      <c r="O11" s="172">
        <f>IFERROR(__xludf.DUMMYFUNCTION("""COMPUTED_VALUE"""),45918.852054745366)</f>
        <v>45918.85205</v>
      </c>
      <c r="P11" s="173">
        <f>IFERROR(vlookup(O11,TSM!A:Q,2,FALSE),"")</f>
        <v>45916</v>
      </c>
      <c r="Q11" s="93">
        <f>IFERROR(vlookup(O11,TSM!A:Q,8,FALSE),"")</f>
        <v>420882</v>
      </c>
      <c r="R11" s="93">
        <f>IFERROR(vlookup(O11,TSM!A:Q,10,FALSE),"")</f>
        <v>403415</v>
      </c>
      <c r="S11" s="93" t="str">
        <f t="shared" si="5"/>
        <v>Yes</v>
      </c>
      <c r="T11" s="93">
        <f t="shared" si="6"/>
        <v>0</v>
      </c>
    </row>
    <row r="12">
      <c r="A12" s="172">
        <f>IFERROR(__xludf.DUMMYFUNCTION("""COMPUTED_VALUE"""),45906.154997245365)</f>
        <v>45906.155</v>
      </c>
      <c r="B12" s="173">
        <f>IFERROR(vlookup(A12,TSM!A:Q,2,FALSE),"")</f>
        <v>45905</v>
      </c>
      <c r="C12" s="93">
        <f>IFERROR(vlookup(A12,TSM!A:Q,8,FALSE),"")</f>
        <v>541880</v>
      </c>
      <c r="D12" s="93">
        <f>IFERROR(vlookup(A12,TSM!A:Q,10,FALSE),"")</f>
        <v>509224</v>
      </c>
      <c r="E12" s="93" t="str">
        <f t="shared" si="1"/>
        <v>Yes</v>
      </c>
      <c r="F12" s="93">
        <f t="shared" si="2"/>
        <v>0</v>
      </c>
      <c r="H12" s="172">
        <f>IFERROR(__xludf.DUMMYFUNCTION("""COMPUTED_VALUE"""),45906.03527278935)</f>
        <v>45906.03527</v>
      </c>
      <c r="I12" s="173">
        <f>IFERROR(vlookup(H12,TSM!A:Q,2,FALSE),"")</f>
        <v>45905</v>
      </c>
      <c r="J12" s="93">
        <f>IFERROR(vlookup(H12,TSM!A:Q,8,FALSE),"")</f>
        <v>310349</v>
      </c>
      <c r="K12" s="93">
        <f>IFERROR(vlookup(H12,TSM!A:Q,10,FALSE),"")</f>
        <v>354961</v>
      </c>
      <c r="L12" s="93" t="str">
        <f t="shared" si="3"/>
        <v>Yes</v>
      </c>
      <c r="M12" s="93">
        <f t="shared" si="4"/>
        <v>0</v>
      </c>
      <c r="O12" s="172">
        <f>IFERROR(__xludf.DUMMYFUNCTION("""COMPUTED_VALUE"""),45919.05942055555)</f>
        <v>45919.05942</v>
      </c>
      <c r="P12" s="173">
        <f>IFERROR(vlookup(O12,TSM!A:Q,2,FALSE),"")</f>
        <v>45917</v>
      </c>
      <c r="Q12" s="93">
        <f>IFERROR(vlookup(O12,TSM!A:Q,8,FALSE),"")</f>
        <v>403415</v>
      </c>
      <c r="R12" s="93">
        <f>IFERROR(vlookup(O12,TSM!A:Q,10,FALSE),"")</f>
        <v>349053</v>
      </c>
      <c r="S12" s="93" t="str">
        <f t="shared" si="5"/>
        <v>Yes</v>
      </c>
      <c r="T12" s="93">
        <f t="shared" si="6"/>
        <v>0</v>
      </c>
    </row>
    <row r="13">
      <c r="A13" s="172">
        <f>IFERROR(__xludf.DUMMYFUNCTION("""COMPUTED_VALUE"""),45906.15610908565)</f>
        <v>45906.15611</v>
      </c>
      <c r="B13" s="173">
        <f>IFERROR(vlookup(A13,TSM!A:Q,2,FALSE),"")</f>
        <v>45905</v>
      </c>
      <c r="C13" s="93">
        <f>IFERROR(vlookup(A13,TSM!A:Q,8,FALSE),"")</f>
        <v>509224</v>
      </c>
      <c r="D13" s="93">
        <f>IFERROR(vlookup(A13,TSM!A:Q,10,FALSE),"")</f>
        <v>479367</v>
      </c>
      <c r="E13" s="93" t="str">
        <f t="shared" si="1"/>
        <v>Yes</v>
      </c>
      <c r="F13" s="93">
        <f t="shared" si="2"/>
        <v>0</v>
      </c>
      <c r="H13" s="172">
        <f>IFERROR(__xludf.DUMMYFUNCTION("""COMPUTED_VALUE"""),45906.12240944445)</f>
        <v>45906.12241</v>
      </c>
      <c r="I13" s="173">
        <f>IFERROR(vlookup(H13,TSM!A:Q,2,FALSE),"")</f>
        <v>45905</v>
      </c>
      <c r="J13" s="93">
        <f>IFERROR(vlookup(H13,TSM!A:Q,8,FALSE),"")</f>
        <v>354961</v>
      </c>
      <c r="K13" s="93">
        <f>IFERROR(vlookup(H13,TSM!A:Q,10,FALSE),"")</f>
        <v>400097</v>
      </c>
      <c r="L13" s="93" t="str">
        <f t="shared" si="3"/>
        <v>Yes</v>
      </c>
      <c r="M13" s="93">
        <f t="shared" si="4"/>
        <v>0</v>
      </c>
      <c r="O13" s="172">
        <f>IFERROR(__xludf.DUMMYFUNCTION("""COMPUTED_VALUE"""),45919.06393905093)</f>
        <v>45919.06394</v>
      </c>
      <c r="P13" s="173">
        <f>IFERROR(vlookup(O13,TSM!A:Q,2,FALSE),"")</f>
        <v>45917</v>
      </c>
      <c r="Q13" s="93">
        <f>IFERROR(vlookup(O13,TSM!A:Q,8,FALSE),"")</f>
        <v>349053</v>
      </c>
      <c r="R13" s="93">
        <f>IFERROR(vlookup(O13,TSM!A:Q,10,FALSE),"")</f>
        <v>304713</v>
      </c>
      <c r="S13" s="93" t="str">
        <f t="shared" si="5"/>
        <v>Yes</v>
      </c>
      <c r="T13" s="93">
        <f t="shared" si="6"/>
        <v>0</v>
      </c>
    </row>
    <row r="14">
      <c r="A14" s="172">
        <f>IFERROR(__xludf.DUMMYFUNCTION("""COMPUTED_VALUE"""),45906.83074881944)</f>
        <v>45906.83075</v>
      </c>
      <c r="B14" s="173">
        <f>IFERROR(vlookup(A14,TSM!A:Q,2,FALSE),"")</f>
        <v>45906</v>
      </c>
      <c r="C14" s="93">
        <f>IFERROR(vlookup(A14,TSM!A:Q,8,FALSE),"")</f>
        <v>479367</v>
      </c>
      <c r="D14" s="93">
        <f>IFERROR(vlookup(A14,TSM!A:Q,10,FALSE),"")</f>
        <v>453359</v>
      </c>
      <c r="E14" s="93" t="str">
        <f t="shared" si="1"/>
        <v>Yes</v>
      </c>
      <c r="F14" s="93">
        <f t="shared" si="2"/>
        <v>0</v>
      </c>
      <c r="H14" s="172">
        <f>IFERROR(__xludf.DUMMYFUNCTION("""COMPUTED_VALUE"""),45906.9832719213)</f>
        <v>45906.98327</v>
      </c>
      <c r="I14" s="173">
        <f>IFERROR(vlookup(H14,TSM!A:Q,2,FALSE),"")</f>
        <v>45906</v>
      </c>
      <c r="J14" s="93">
        <f>IFERROR(vlookup(H14,TSM!A:Q,8,FALSE),"")</f>
        <v>445440</v>
      </c>
      <c r="K14" s="93">
        <f>IFERROR(vlookup(H14,TSM!A:Q,10,FALSE),"")</f>
        <v>489547</v>
      </c>
      <c r="L14" s="93" t="str">
        <f t="shared" si="3"/>
        <v>No</v>
      </c>
      <c r="M14" s="93">
        <f t="shared" si="4"/>
        <v>45343</v>
      </c>
      <c r="O14" s="172">
        <f>IFERROR(__xludf.DUMMYFUNCTION("""COMPUTED_VALUE"""),45919.06920243056)</f>
        <v>45919.0692</v>
      </c>
      <c r="P14" s="173">
        <f>IFERROR(vlookup(O14,TSM!A:Q,2,FALSE),"")</f>
        <v>45918</v>
      </c>
      <c r="Q14" s="93">
        <f>IFERROR(vlookup(O14,TSM!A:Q,8,FALSE),"")</f>
        <v>304197</v>
      </c>
      <c r="R14" s="93">
        <f>IFERROR(vlookup(O14,TSM!A:Q,10,FALSE),"")</f>
        <v>283732</v>
      </c>
      <c r="S14" s="93" t="str">
        <f t="shared" si="5"/>
        <v>No</v>
      </c>
      <c r="T14" s="93">
        <f t="shared" si="6"/>
        <v>516</v>
      </c>
    </row>
    <row r="15">
      <c r="A15" s="172">
        <f>IFERROR(__xludf.DUMMYFUNCTION("""COMPUTED_VALUE"""),45906.83189854167)</f>
        <v>45906.8319</v>
      </c>
      <c r="B15" s="173">
        <f>IFERROR(vlookup(A15,TSM!A:Q,2,FALSE),"")</f>
        <v>45906</v>
      </c>
      <c r="C15" s="93">
        <f>IFERROR(vlookup(A15,TSM!A:Q,8,FALSE),"")</f>
        <v>453359</v>
      </c>
      <c r="D15" s="93">
        <f>IFERROR(vlookup(A15,TSM!A:Q,10,FALSE),"")</f>
        <v>435537</v>
      </c>
      <c r="E15" s="93" t="str">
        <f t="shared" si="1"/>
        <v>Yes</v>
      </c>
      <c r="F15" s="93">
        <f t="shared" si="2"/>
        <v>0</v>
      </c>
      <c r="H15" s="172">
        <f>IFERROR(__xludf.DUMMYFUNCTION("""COMPUTED_VALUE"""),45906.9867652199)</f>
        <v>45906.98677</v>
      </c>
      <c r="I15" s="173">
        <f>IFERROR(vlookup(H15,TSM!A:Q,2,FALSE),"")</f>
        <v>45906</v>
      </c>
      <c r="J15" s="93">
        <f>IFERROR(vlookup(H15,TSM!A:Q,8,FALSE),"")</f>
        <v>489547</v>
      </c>
      <c r="K15" s="93">
        <f>IFERROR(vlookup(H15,TSM!A:Q,10,FALSE),"")</f>
        <v>534353</v>
      </c>
      <c r="L15" s="93" t="str">
        <f t="shared" si="3"/>
        <v>Yes</v>
      </c>
      <c r="M15" s="93">
        <f t="shared" si="4"/>
        <v>0</v>
      </c>
      <c r="O15" s="172">
        <f>IFERROR(__xludf.DUMMYFUNCTION("""COMPUTED_VALUE"""),45919.36097150463)</f>
        <v>45919.36097</v>
      </c>
      <c r="P15" s="173">
        <f>IFERROR(vlookup(O15,TSM!A:Q,2,FALSE),"")</f>
        <v>45918</v>
      </c>
      <c r="Q15" s="93">
        <f>IFERROR(vlookup(O15,TSM!A:Q,8,FALSE),"")</f>
        <v>283732</v>
      </c>
      <c r="R15" s="93">
        <f>IFERROR(vlookup(O15,TSM!A:Q,10,FALSE),"")</f>
        <v>268642</v>
      </c>
      <c r="S15" s="93" t="str">
        <f t="shared" si="5"/>
        <v>Yes</v>
      </c>
      <c r="T15" s="93">
        <f t="shared" si="6"/>
        <v>0</v>
      </c>
    </row>
    <row r="16">
      <c r="A16" s="172">
        <f>IFERROR(__xludf.DUMMYFUNCTION("""COMPUTED_VALUE"""),45906.98933898148)</f>
        <v>45906.98934</v>
      </c>
      <c r="B16" s="173">
        <f>IFERROR(vlookup(A16,TSM!A:Q,2,FALSE),"")</f>
        <v>45906</v>
      </c>
      <c r="C16" s="93">
        <f>IFERROR(vlookup(A16,TSM!A:Q,8,FALSE),"")</f>
        <v>435537</v>
      </c>
      <c r="D16" s="93">
        <f>IFERROR(vlookup(A16,TSM!A:Q,10,FALSE),"")</f>
        <v>475741</v>
      </c>
      <c r="E16" s="93" t="str">
        <f t="shared" si="1"/>
        <v>Yes</v>
      </c>
      <c r="F16" s="93">
        <f t="shared" si="2"/>
        <v>0</v>
      </c>
      <c r="H16" s="172">
        <f>IFERROR(__xludf.DUMMYFUNCTION("""COMPUTED_VALUE"""),45906.9880784375)</f>
        <v>45906.98808</v>
      </c>
      <c r="I16" s="173">
        <f>IFERROR(vlookup(H16,TSM!A:Q,2,FALSE),"")</f>
        <v>45906</v>
      </c>
      <c r="J16" s="93">
        <f>IFERROR(vlookup(H16,TSM!A:Q,8,FALSE),"")</f>
        <v>534353</v>
      </c>
      <c r="K16" s="93">
        <f>IFERROR(vlookup(H16,TSM!A:Q,10,FALSE),"")</f>
        <v>579603</v>
      </c>
      <c r="L16" s="93" t="str">
        <f t="shared" si="3"/>
        <v>Yes</v>
      </c>
      <c r="M16" s="93">
        <f t="shared" si="4"/>
        <v>0</v>
      </c>
    </row>
    <row r="17">
      <c r="A17" s="172">
        <f>IFERROR(__xludf.DUMMYFUNCTION("""COMPUTED_VALUE"""),45907.17284699074)</f>
        <v>45907.17285</v>
      </c>
      <c r="B17" s="173">
        <f>IFERROR(vlookup(A17,TSM!A:Q,2,FALSE),"")</f>
        <v>45906</v>
      </c>
      <c r="C17" s="93">
        <f>IFERROR(vlookup(A17,TSM!A:Q,8,FALSE),"")</f>
        <v>475741</v>
      </c>
      <c r="D17" s="93">
        <f>IFERROR(vlookup(A17,TSM!A:Q,10,FALSE),"")</f>
        <v>519902</v>
      </c>
      <c r="E17" s="93" t="str">
        <f t="shared" si="1"/>
        <v>Yes</v>
      </c>
      <c r="F17" s="93">
        <f t="shared" si="2"/>
        <v>0</v>
      </c>
      <c r="H17" s="172">
        <f>IFERROR(__xludf.DUMMYFUNCTION("""COMPUTED_VALUE"""),45910.66157696759)</f>
        <v>45910.66158</v>
      </c>
      <c r="I17" s="173">
        <f>IFERROR(vlookup(H17,TSM!A:Q,2,FALSE),"")</f>
        <v>45908</v>
      </c>
      <c r="J17" s="93">
        <f>IFERROR(vlookup(H17,TSM!A:Q,8,FALSE),"")</f>
        <v>578044</v>
      </c>
      <c r="K17" s="93">
        <f>IFERROR(vlookup(H17,TSM!A:Q,10,FALSE),"")</f>
        <v>552389</v>
      </c>
      <c r="L17" s="93" t="str">
        <f t="shared" si="3"/>
        <v>No</v>
      </c>
      <c r="M17" s="93">
        <f t="shared" si="4"/>
        <v>-1559</v>
      </c>
    </row>
    <row r="18">
      <c r="A18" s="172">
        <f>IFERROR(__xludf.DUMMYFUNCTION("""COMPUTED_VALUE"""),45907.17419016204)</f>
        <v>45907.17419</v>
      </c>
      <c r="B18" s="173">
        <f>IFERROR(vlookup(A18,TSM!A:Q,2,FALSE),"")</f>
        <v>45906</v>
      </c>
      <c r="C18" s="93">
        <f>IFERROR(vlookup(A18,TSM!A:Q,8,FALSE),"")</f>
        <v>519902</v>
      </c>
      <c r="D18" s="93">
        <f>IFERROR(vlookup(A18,TSM!A:Q,10,FALSE),"")</f>
        <v>564583</v>
      </c>
      <c r="E18" s="93" t="str">
        <f t="shared" si="1"/>
        <v>Yes</v>
      </c>
      <c r="F18" s="93">
        <f t="shared" si="2"/>
        <v>0</v>
      </c>
      <c r="H18" s="172">
        <f>IFERROR(__xludf.DUMMYFUNCTION("""COMPUTED_VALUE"""),45910.66252712963)</f>
        <v>45910.66253</v>
      </c>
      <c r="I18" s="173">
        <f>IFERROR(vlookup(H18,TSM!A:Q,2,FALSE),"")</f>
        <v>45908</v>
      </c>
      <c r="J18" s="93">
        <f>IFERROR(vlookup(H18,TSM!A:Q,8,FALSE),"")</f>
        <v>552389</v>
      </c>
      <c r="K18" s="93">
        <f>IFERROR(vlookup(H18,TSM!A:Q,10,FALSE),"")</f>
        <v>514476</v>
      </c>
      <c r="L18" s="93" t="str">
        <f t="shared" si="3"/>
        <v>Yes</v>
      </c>
      <c r="M18" s="93">
        <f t="shared" si="4"/>
        <v>0</v>
      </c>
    </row>
    <row r="19">
      <c r="A19" s="172">
        <f>IFERROR(__xludf.DUMMYFUNCTION("""COMPUTED_VALUE"""),45907.217310844906)</f>
        <v>45907.21731</v>
      </c>
      <c r="B19" s="173">
        <f>IFERROR(vlookup(A19,TSM!A:Q,2,FALSE),"")</f>
        <v>45906</v>
      </c>
      <c r="C19" s="93">
        <f>IFERROR(vlookup(A19,TSM!A:Q,8,FALSE),"")</f>
        <v>564583</v>
      </c>
      <c r="D19" s="93">
        <f>IFERROR(vlookup(A19,TSM!A:Q,10,FALSE),"")</f>
        <v>609473</v>
      </c>
      <c r="E19" s="93" t="str">
        <f t="shared" si="1"/>
        <v>Yes</v>
      </c>
      <c r="F19" s="93">
        <f t="shared" si="2"/>
        <v>0</v>
      </c>
      <c r="H19" s="172">
        <f>IFERROR(__xludf.DUMMYFUNCTION("""COMPUTED_VALUE"""),45910.66460023148)</f>
        <v>45910.6646</v>
      </c>
      <c r="I19" s="173">
        <f>IFERROR(vlookup(H19,TSM!A:Q,2,FALSE),"")</f>
        <v>45908</v>
      </c>
      <c r="J19" s="93">
        <f>IFERROR(vlookup(H19,TSM!A:Q,8,FALSE),"")</f>
        <v>514476</v>
      </c>
      <c r="K19" s="93">
        <f>IFERROR(vlookup(H19,TSM!A:Q,10,FALSE),"")</f>
        <v>496506</v>
      </c>
      <c r="L19" s="93" t="str">
        <f t="shared" si="3"/>
        <v>Yes</v>
      </c>
      <c r="M19" s="93">
        <f t="shared" si="4"/>
        <v>0</v>
      </c>
    </row>
    <row r="20">
      <c r="A20" s="172">
        <f>IFERROR(__xludf.DUMMYFUNCTION("""COMPUTED_VALUE"""),45909.90931012732)</f>
        <v>45909.90931</v>
      </c>
      <c r="B20" s="173">
        <f>IFERROR(vlookup(A20,TSM!A:Q,2,FALSE),"")</f>
        <v>45907</v>
      </c>
      <c r="C20" s="93">
        <f>IFERROR(vlookup(A20,TSM!A:Q,8,FALSE),"")</f>
        <v>609473</v>
      </c>
      <c r="D20" s="93">
        <f>IFERROR(vlookup(A20,TSM!A:Q,10,FALSE),"")</f>
        <v>650435</v>
      </c>
      <c r="E20" s="93" t="str">
        <f t="shared" si="1"/>
        <v>Yes</v>
      </c>
      <c r="F20" s="93">
        <f t="shared" si="2"/>
        <v>0</v>
      </c>
      <c r="H20" s="172">
        <f>IFERROR(__xludf.DUMMYFUNCTION("""COMPUTED_VALUE"""),45910.665429699075)</f>
        <v>45910.66543</v>
      </c>
      <c r="I20" s="173">
        <f>IFERROR(vlookup(H20,TSM!A:Q,2,FALSE),"")</f>
        <v>45908</v>
      </c>
      <c r="J20" s="93">
        <f>IFERROR(vlookup(H20,TSM!A:Q,8,FALSE),"")</f>
        <v>496506</v>
      </c>
      <c r="K20" s="93">
        <f>IFERROR(vlookup(H20,TSM!A:Q,10,FALSE),"")</f>
        <v>461523</v>
      </c>
      <c r="L20" s="93" t="str">
        <f t="shared" si="3"/>
        <v>Yes</v>
      </c>
      <c r="M20" s="93">
        <f t="shared" si="4"/>
        <v>0</v>
      </c>
    </row>
    <row r="21">
      <c r="A21" s="172">
        <f>IFERROR(__xludf.DUMMYFUNCTION("""COMPUTED_VALUE"""),45909.91237359954)</f>
        <v>45909.91237</v>
      </c>
      <c r="B21" s="173">
        <f>IFERROR(vlookup(A21,TSM!A:Q,2,FALSE),"")</f>
        <v>45907</v>
      </c>
      <c r="C21" s="93">
        <f>IFERROR(vlookup(A21,TSM!A:Q,8,FALSE),"")</f>
        <v>650435</v>
      </c>
      <c r="D21" s="93">
        <f>IFERROR(vlookup(A21,TSM!A:Q,10,FALSE),"")</f>
        <v>636634</v>
      </c>
      <c r="E21" s="93" t="str">
        <f t="shared" si="1"/>
        <v>Yes</v>
      </c>
      <c r="F21" s="93">
        <f t="shared" si="2"/>
        <v>0</v>
      </c>
      <c r="H21" s="172">
        <f>IFERROR(__xludf.DUMMYFUNCTION("""COMPUTED_VALUE"""),45910.6662864699)</f>
        <v>45910.66629</v>
      </c>
      <c r="I21" s="173">
        <f>IFERROR(vlookup(H21,TSM!A:Q,2,FALSE),"")</f>
        <v>45908</v>
      </c>
      <c r="J21" s="93">
        <f>IFERROR(vlookup(H21,TSM!A:Q,8,FALSE),"")</f>
        <v>461523</v>
      </c>
      <c r="K21" s="93">
        <f>IFERROR(vlookup(H21,TSM!A:Q,10,FALSE),"")</f>
        <v>408294</v>
      </c>
      <c r="L21" s="93" t="str">
        <f t="shared" si="3"/>
        <v>Yes</v>
      </c>
      <c r="M21" s="93">
        <f t="shared" si="4"/>
        <v>0</v>
      </c>
    </row>
    <row r="22">
      <c r="A22" s="172">
        <f>IFERROR(__xludf.DUMMYFUNCTION("""COMPUTED_VALUE"""),45909.915909131945)</f>
        <v>45909.91591</v>
      </c>
      <c r="B22" s="173">
        <f>IFERROR(vlookup(A22,TSM!A:Q,2,FALSE),"")</f>
        <v>45907</v>
      </c>
      <c r="C22" s="93">
        <f>IFERROR(vlookup(A22,TSM!A:Q,8,FALSE),"")</f>
        <v>636634</v>
      </c>
      <c r="D22" s="93">
        <f>IFERROR(vlookup(A22,TSM!A:Q,10,FALSE),"")</f>
        <v>605637</v>
      </c>
      <c r="E22" s="93" t="str">
        <f t="shared" si="1"/>
        <v>Yes</v>
      </c>
      <c r="F22" s="93">
        <f t="shared" si="2"/>
        <v>0</v>
      </c>
      <c r="H22" s="172">
        <f>IFERROR(__xludf.DUMMYFUNCTION("""COMPUTED_VALUE"""),45910.667109814814)</f>
        <v>45910.66711</v>
      </c>
      <c r="I22" s="173">
        <f>IFERROR(vlookup(H22,TSM!A:Q,2,FALSE),"")</f>
        <v>45908</v>
      </c>
      <c r="J22" s="93">
        <f>IFERROR(vlookup(H22,TSM!A:Q,8,FALSE),"")</f>
        <v>408294</v>
      </c>
      <c r="K22" s="93">
        <f>IFERROR(vlookup(H22,TSM!A:Q,10,FALSE),"")</f>
        <v>368657</v>
      </c>
      <c r="L22" s="93" t="str">
        <f t="shared" si="3"/>
        <v>Yes</v>
      </c>
      <c r="M22" s="93">
        <f t="shared" si="4"/>
        <v>0</v>
      </c>
    </row>
    <row r="23">
      <c r="A23" s="172">
        <f>IFERROR(__xludf.DUMMYFUNCTION("""COMPUTED_VALUE"""),45909.917992835646)</f>
        <v>45909.91799</v>
      </c>
      <c r="B23" s="173">
        <f>IFERROR(vlookup(A23,TSM!A:Q,2,FALSE),"")</f>
        <v>45907</v>
      </c>
      <c r="C23" s="93">
        <f>IFERROR(vlookup(A23,TSM!A:Q,8,FALSE),"")</f>
        <v>605637</v>
      </c>
      <c r="D23" s="93">
        <f>IFERROR(vlookup(A23,TSM!A:Q,10,FALSE),"")</f>
        <v>574639</v>
      </c>
      <c r="E23" s="93" t="str">
        <f t="shared" si="1"/>
        <v>Yes</v>
      </c>
      <c r="F23" s="93">
        <f t="shared" si="2"/>
        <v>0</v>
      </c>
      <c r="H23" s="172">
        <f>IFERROR(__xludf.DUMMYFUNCTION("""COMPUTED_VALUE"""),45910.669558298614)</f>
        <v>45910.66956</v>
      </c>
      <c r="I23" s="173">
        <f>IFERROR(vlookup(H23,TSM!A:Q,2,FALSE),"")</f>
        <v>45908</v>
      </c>
      <c r="J23" s="93">
        <f>IFERROR(vlookup(H23,TSM!A:Q,8,FALSE),"")</f>
        <v>368657</v>
      </c>
      <c r="K23" s="93">
        <f>IFERROR(vlookup(H23,TSM!A:Q,10,FALSE),"")</f>
        <v>314498</v>
      </c>
      <c r="L23" s="93" t="str">
        <f t="shared" si="3"/>
        <v>Yes</v>
      </c>
      <c r="M23" s="93">
        <f t="shared" si="4"/>
        <v>0</v>
      </c>
    </row>
    <row r="24">
      <c r="A24" s="172">
        <f>IFERROR(__xludf.DUMMYFUNCTION("""COMPUTED_VALUE"""),45909.919386574074)</f>
        <v>45909.91939</v>
      </c>
      <c r="B24" s="173">
        <f>IFERROR(vlookup(A24,TSM!A:Q,2,FALSE),"")</f>
        <v>45907</v>
      </c>
      <c r="C24" s="93">
        <f>IFERROR(vlookup(A24,TSM!A:Q,8,FALSE),"")</f>
        <v>574639</v>
      </c>
      <c r="D24" s="93">
        <f>IFERROR(vlookup(A24,TSM!A:Q,10,FALSE),"")</f>
        <v>562614</v>
      </c>
      <c r="E24" s="93" t="str">
        <f t="shared" si="1"/>
        <v>Yes</v>
      </c>
      <c r="F24" s="93">
        <f t="shared" si="2"/>
        <v>0</v>
      </c>
      <c r="H24" s="172">
        <f>IFERROR(__xludf.DUMMYFUNCTION("""COMPUTED_VALUE"""),45910.67212459491)</f>
        <v>45910.67212</v>
      </c>
      <c r="I24" s="173">
        <f>IFERROR(vlookup(H24,TSM!A:Q,2,FALSE),"")</f>
        <v>45909</v>
      </c>
      <c r="J24" s="93">
        <f>IFERROR(vlookup(H24,TSM!A:Q,8,FALSE),"")</f>
        <v>314498</v>
      </c>
      <c r="K24" s="93">
        <f>IFERROR(vlookup(H24,TSM!A:Q,10,FALSE),"")</f>
        <v>259628</v>
      </c>
      <c r="L24" s="93" t="str">
        <f t="shared" si="3"/>
        <v>Yes</v>
      </c>
      <c r="M24" s="93">
        <f t="shared" si="4"/>
        <v>0</v>
      </c>
    </row>
    <row r="25">
      <c r="A25" s="172">
        <f>IFERROR(__xludf.DUMMYFUNCTION("""COMPUTED_VALUE"""),45909.92155613426)</f>
        <v>45909.92156</v>
      </c>
      <c r="B25" s="173">
        <f>IFERROR(vlookup(A25,TSM!A:Q,2,FALSE),"")</f>
        <v>45907</v>
      </c>
      <c r="C25" s="93">
        <f>IFERROR(vlookup(A25,TSM!A:Q,8,FALSE),"")</f>
        <v>562614</v>
      </c>
      <c r="D25" s="93">
        <f>IFERROR(vlookup(A25,TSM!A:Q,10,FALSE),"")</f>
        <v>604496</v>
      </c>
      <c r="E25" s="93" t="str">
        <f t="shared" si="1"/>
        <v>Yes</v>
      </c>
      <c r="F25" s="93">
        <f t="shared" si="2"/>
        <v>0</v>
      </c>
      <c r="H25" s="172">
        <f>IFERROR(__xludf.DUMMYFUNCTION("""COMPUTED_VALUE"""),45918.41092775463)</f>
        <v>45918.41093</v>
      </c>
      <c r="I25" s="173">
        <f>IFERROR(vlookup(H25,TSM!A:Q,2,FALSE),"")</f>
        <v>45913</v>
      </c>
      <c r="J25" s="93">
        <f>IFERROR(vlookup(H25,TSM!A:Q,8,FALSE),"")</f>
        <v>259421</v>
      </c>
      <c r="K25" s="93">
        <f>IFERROR(vlookup(H25,TSM!A:Q,10,FALSE),"")</f>
        <v>223118</v>
      </c>
      <c r="L25" s="93" t="str">
        <f t="shared" si="3"/>
        <v>No</v>
      </c>
      <c r="M25" s="93">
        <f t="shared" si="4"/>
        <v>-207</v>
      </c>
    </row>
    <row r="26">
      <c r="A26" s="172">
        <f>IFERROR(__xludf.DUMMYFUNCTION("""COMPUTED_VALUE"""),45909.92390645834)</f>
        <v>45909.92391</v>
      </c>
      <c r="B26" s="173">
        <f>IFERROR(vlookup(A26,TSM!A:Q,2,FALSE),"")</f>
        <v>45907</v>
      </c>
      <c r="C26" s="93">
        <f>IFERROR(vlookup(A26,TSM!A:Q,8,FALSE),"")</f>
        <v>604496</v>
      </c>
      <c r="D26" s="93">
        <f>IFERROR(vlookup(A26,TSM!A:Q,10,FALSE),"")</f>
        <v>648982</v>
      </c>
      <c r="E26" s="93" t="str">
        <f t="shared" si="1"/>
        <v>Yes</v>
      </c>
      <c r="F26" s="93">
        <f t="shared" si="2"/>
        <v>0</v>
      </c>
      <c r="H26" s="172">
        <f>IFERROR(__xludf.DUMMYFUNCTION("""COMPUTED_VALUE"""),45918.41367995371)</f>
        <v>45918.41368</v>
      </c>
      <c r="I26" s="173">
        <f>IFERROR(vlookup(H26,TSM!A:Q,2,FALSE),"")</f>
        <v>45913</v>
      </c>
      <c r="J26" s="93">
        <f>IFERROR(vlookup(H26,TSM!A:Q,8,FALSE),"")</f>
        <v>223118</v>
      </c>
      <c r="K26" s="93">
        <f>IFERROR(vlookup(H26,TSM!A:Q,10,FALSE),"")</f>
        <v>197913</v>
      </c>
      <c r="L26" s="93" t="str">
        <f t="shared" si="3"/>
        <v>Yes</v>
      </c>
      <c r="M26" s="93">
        <f t="shared" si="4"/>
        <v>0</v>
      </c>
    </row>
    <row r="27">
      <c r="A27" s="172">
        <f>IFERROR(__xludf.DUMMYFUNCTION("""COMPUTED_VALUE"""),45909.92719778935)</f>
        <v>45909.9272</v>
      </c>
      <c r="B27" s="173">
        <f>IFERROR(vlookup(A27,TSM!A:Q,2,FALSE),"")</f>
        <v>45908</v>
      </c>
      <c r="C27" s="93">
        <f>IFERROR(vlookup(A27,TSM!A:Q,8,FALSE),"")</f>
        <v>648982</v>
      </c>
      <c r="D27" s="93">
        <f>IFERROR(vlookup(A27,TSM!A:Q,10,FALSE),"")</f>
        <v>693707</v>
      </c>
      <c r="E27" s="93" t="str">
        <f t="shared" si="1"/>
        <v>Yes</v>
      </c>
      <c r="F27" s="93">
        <f t="shared" si="2"/>
        <v>0</v>
      </c>
      <c r="H27" s="172">
        <f>IFERROR(__xludf.DUMMYFUNCTION("""COMPUTED_VALUE"""),45918.41572592592)</f>
        <v>45918.41573</v>
      </c>
      <c r="I27" s="173">
        <f>IFERROR(vlookup(H27,TSM!A:Q,2,FALSE),"")</f>
        <v>45913</v>
      </c>
      <c r="J27" s="93">
        <f>IFERROR(vlookup(H27,TSM!A:Q,8,FALSE),"")</f>
        <v>197913</v>
      </c>
      <c r="K27" s="93">
        <f>IFERROR(vlookup(H27,TSM!A:Q,10,FALSE),"")</f>
        <v>179554</v>
      </c>
      <c r="L27" s="93" t="str">
        <f t="shared" si="3"/>
        <v>Yes</v>
      </c>
      <c r="M27" s="93">
        <f t="shared" si="4"/>
        <v>0</v>
      </c>
    </row>
    <row r="28">
      <c r="A28" s="172">
        <f>IFERROR(__xludf.DUMMYFUNCTION("""COMPUTED_VALUE"""),45910.673613437495)</f>
        <v>45910.67361</v>
      </c>
      <c r="B28" s="173">
        <f>IFERROR(vlookup(A28,TSM!A:Q,2,FALSE),"")</f>
        <v>45909</v>
      </c>
      <c r="C28" s="93">
        <f>IFERROR(vlookup(A28,TSM!A:Q,8,FALSE),"")</f>
        <v>692877</v>
      </c>
      <c r="D28" s="93">
        <f>IFERROR(vlookup(A28,TSM!A:Q,10,FALSE),"")</f>
        <v>662058</v>
      </c>
      <c r="E28" s="93" t="str">
        <f t="shared" si="1"/>
        <v>No</v>
      </c>
      <c r="F28" s="93">
        <f t="shared" si="2"/>
        <v>-830</v>
      </c>
      <c r="H28" s="172">
        <f>IFERROR(__xludf.DUMMYFUNCTION("""COMPUTED_VALUE"""),45918.41967015046)</f>
        <v>45918.41967</v>
      </c>
      <c r="I28" s="173">
        <f>IFERROR(vlookup(H28,TSM!A:Q,2,FALSE),"")</f>
        <v>45914</v>
      </c>
      <c r="J28" s="93">
        <f>IFERROR(vlookup(H28,TSM!A:Q,8,FALSE),"")</f>
        <v>179554</v>
      </c>
      <c r="K28" s="93">
        <f>IFERROR(vlookup(H28,TSM!A:Q,10,FALSE),"")</f>
        <v>137344</v>
      </c>
      <c r="L28" s="93" t="str">
        <f t="shared" si="3"/>
        <v>Yes</v>
      </c>
      <c r="M28" s="93">
        <f t="shared" si="4"/>
        <v>0</v>
      </c>
    </row>
    <row r="29">
      <c r="A29" s="172">
        <f>IFERROR(__xludf.DUMMYFUNCTION("""COMPUTED_VALUE"""),45910.67495170139)</f>
        <v>45910.67495</v>
      </c>
      <c r="B29" s="173">
        <f>IFERROR(vlookup(A29,TSM!A:Q,2,FALSE),"")</f>
        <v>45909</v>
      </c>
      <c r="C29" s="93">
        <f>IFERROR(vlookup(A29,TSM!A:Q,8,FALSE),"")</f>
        <v>662058</v>
      </c>
      <c r="D29" s="93">
        <f>IFERROR(vlookup(A29,TSM!A:Q,10,FALSE),"")</f>
        <v>638918</v>
      </c>
      <c r="E29" s="93" t="str">
        <f t="shared" si="1"/>
        <v>Yes</v>
      </c>
      <c r="F29" s="93">
        <f t="shared" si="2"/>
        <v>0</v>
      </c>
      <c r="H29" s="172">
        <f>IFERROR(__xludf.DUMMYFUNCTION("""COMPUTED_VALUE"""),45918.433365370365)</f>
        <v>45918.43337</v>
      </c>
      <c r="I29" s="173">
        <f>IFERROR(vlookup(H29,TSM!A:Q,2,FALSE),"")</f>
        <v>45914</v>
      </c>
      <c r="J29" s="93">
        <f>IFERROR(vlookup(H29,TSM!A:Q,8,FALSE),"")</f>
        <v>137344</v>
      </c>
      <c r="K29" s="93">
        <f>IFERROR(vlookup(H29,TSM!A:Q,10,FALSE),"")</f>
        <v>93859</v>
      </c>
      <c r="L29" s="93" t="str">
        <f t="shared" si="3"/>
        <v>Yes</v>
      </c>
      <c r="M29" s="93">
        <f t="shared" si="4"/>
        <v>0</v>
      </c>
    </row>
    <row r="30">
      <c r="A30" s="172">
        <f>IFERROR(__xludf.DUMMYFUNCTION("""COMPUTED_VALUE"""),45910.676013599536)</f>
        <v>45910.67601</v>
      </c>
      <c r="B30" s="173">
        <f>IFERROR(vlookup(A30,TSM!A:Q,2,FALSE),"")</f>
        <v>45909</v>
      </c>
      <c r="C30" s="93">
        <f>IFERROR(vlookup(A30,TSM!A:Q,8,FALSE),"")</f>
        <v>638918</v>
      </c>
      <c r="D30" s="93">
        <f>IFERROR(vlookup(A30,TSM!A:Q,10,FALSE),"")</f>
        <v>678867</v>
      </c>
      <c r="E30" s="93" t="str">
        <f t="shared" si="1"/>
        <v>Yes</v>
      </c>
      <c r="F30" s="93">
        <f t="shared" si="2"/>
        <v>0</v>
      </c>
      <c r="H30" s="172">
        <f>IFERROR(__xludf.DUMMYFUNCTION("""COMPUTED_VALUE"""),45918.43495597222)</f>
        <v>45918.43496</v>
      </c>
      <c r="I30" s="173">
        <f>IFERROR(vlookup(H30,TSM!A:Q,2,FALSE),"")</f>
        <v>45914</v>
      </c>
      <c r="J30" s="93">
        <f>IFERROR(vlookup(H30,TSM!A:Q,8,FALSE),"")</f>
        <v>93859</v>
      </c>
      <c r="K30" s="93">
        <f>IFERROR(vlookup(H30,TSM!A:Q,10,FALSE),"")</f>
        <v>50924</v>
      </c>
      <c r="L30" s="93" t="str">
        <f t="shared" si="3"/>
        <v>Yes</v>
      </c>
      <c r="M30" s="93">
        <f t="shared" si="4"/>
        <v>0</v>
      </c>
    </row>
    <row r="31">
      <c r="A31" s="172">
        <f>IFERROR(__xludf.DUMMYFUNCTION("""COMPUTED_VALUE"""),45910.67779840278)</f>
        <v>45910.6778</v>
      </c>
      <c r="B31" s="173">
        <f>IFERROR(vlookup(A31,TSM!A:Q,2,FALSE),"")</f>
        <v>45909</v>
      </c>
      <c r="C31" s="93">
        <f>IFERROR(vlookup(A31,TSM!A:Q,8,FALSE),"")</f>
        <v>678867</v>
      </c>
      <c r="D31" s="93">
        <f>IFERROR(vlookup(A31,TSM!A:Q,10,FALSE),"")</f>
        <v>657596</v>
      </c>
      <c r="E31" s="93" t="str">
        <f t="shared" si="1"/>
        <v>Yes</v>
      </c>
      <c r="F31" s="93">
        <f t="shared" si="2"/>
        <v>0</v>
      </c>
      <c r="H31" s="172">
        <f>IFERROR(__xludf.DUMMYFUNCTION("""COMPUTED_VALUE"""),45918.436784074074)</f>
        <v>45918.43678</v>
      </c>
      <c r="I31" s="173">
        <f>IFERROR(vlookup(H31,TSM!A:Q,2,FALSE),"")</f>
        <v>45914</v>
      </c>
      <c r="J31" s="93">
        <f>IFERROR(vlookup(H31,TSM!A:Q,8,FALSE),"")</f>
        <v>50924</v>
      </c>
      <c r="K31" s="93">
        <f>IFERROR(vlookup(H31,TSM!A:Q,10,FALSE),"")</f>
        <v>34179</v>
      </c>
      <c r="L31" s="93" t="str">
        <f t="shared" si="3"/>
        <v>Yes</v>
      </c>
      <c r="M31" s="93">
        <f t="shared" si="4"/>
        <v>0</v>
      </c>
    </row>
    <row r="32">
      <c r="A32" s="172">
        <f>IFERROR(__xludf.DUMMYFUNCTION("""COMPUTED_VALUE"""),45910.67933680555)</f>
        <v>45910.67934</v>
      </c>
      <c r="B32" s="173">
        <f>IFERROR(vlookup(A32,TSM!A:Q,2,FALSE),"")</f>
        <v>45909</v>
      </c>
      <c r="C32" s="93">
        <f>IFERROR(vlookup(A32,TSM!A:Q,8,FALSE),"")</f>
        <v>657596</v>
      </c>
      <c r="D32" s="93">
        <f>IFERROR(vlookup(A32,TSM!A:Q,10,FALSE),"")</f>
        <v>607503</v>
      </c>
      <c r="E32" s="93" t="str">
        <f t="shared" si="1"/>
        <v>Yes</v>
      </c>
      <c r="F32" s="93">
        <f t="shared" si="2"/>
        <v>0</v>
      </c>
      <c r="H32" s="172">
        <f>IFERROR(__xludf.DUMMYFUNCTION("""COMPUTED_VALUE"""),45918.44258210648)</f>
        <v>45918.44258</v>
      </c>
      <c r="I32" s="173">
        <f>IFERROR(vlookup(H32,TSM!A:Q,2,FALSE),"")</f>
        <v>45915</v>
      </c>
      <c r="J32" s="93">
        <f>IFERROR(vlookup(H32,TSM!A:Q,8,FALSE),"")</f>
        <v>34179</v>
      </c>
      <c r="K32" s="93">
        <f>IFERROR(vlookup(H32,TSM!A:Q,10,FALSE),"")</f>
        <v>29193</v>
      </c>
      <c r="L32" s="93" t="str">
        <f t="shared" si="3"/>
        <v>Yes</v>
      </c>
      <c r="M32" s="93">
        <f t="shared" si="4"/>
        <v>0</v>
      </c>
    </row>
    <row r="33">
      <c r="A33" s="172">
        <f>IFERROR(__xludf.DUMMYFUNCTION("""COMPUTED_VALUE"""),45910.68004998843)</f>
        <v>45910.68005</v>
      </c>
      <c r="B33" s="173">
        <f>IFERROR(vlookup(A33,TSM!A:Q,2,FALSE),"")</f>
        <v>45909</v>
      </c>
      <c r="C33" s="93">
        <f>IFERROR(vlookup(A33,TSM!A:Q,8,FALSE),"")</f>
        <v>607503</v>
      </c>
      <c r="D33" s="93">
        <f>IFERROR(vlookup(A33,TSM!A:Q,10,FALSE),"")</f>
        <v>554424</v>
      </c>
      <c r="E33" s="93" t="str">
        <f t="shared" si="1"/>
        <v>Yes</v>
      </c>
      <c r="F33" s="93">
        <f t="shared" si="2"/>
        <v>0</v>
      </c>
      <c r="H33" s="172">
        <f>IFERROR(__xludf.DUMMYFUNCTION("""COMPUTED_VALUE"""),45918.45697508102)</f>
        <v>45918.45698</v>
      </c>
      <c r="I33" s="173">
        <f>IFERROR(vlookup(H33,TSM!A:Q,2,FALSE),"")</f>
        <v>45915</v>
      </c>
      <c r="J33" s="93">
        <f>IFERROR(vlookup(H33,TSM!A:Q,8,FALSE),"")</f>
        <v>29193</v>
      </c>
      <c r="K33" s="93">
        <f>IFERROR(vlookup(H33,TSM!A:Q,10,FALSE),"")</f>
        <v>0</v>
      </c>
      <c r="L33" s="93" t="str">
        <f t="shared" si="3"/>
        <v>Yes</v>
      </c>
      <c r="M33" s="93">
        <f t="shared" si="4"/>
        <v>0</v>
      </c>
    </row>
    <row r="34">
      <c r="A34" s="172">
        <f>IFERROR(__xludf.DUMMYFUNCTION("""COMPUTED_VALUE"""),45910.68171280093)</f>
        <v>45910.68171</v>
      </c>
      <c r="B34" s="173">
        <f>IFERROR(vlookup(A34,TSM!A:Q,2,FALSE),"")</f>
        <v>45909</v>
      </c>
      <c r="C34" s="93">
        <f>IFERROR(vlookup(A34,TSM!A:Q,8,FALSE),"")</f>
        <v>554424</v>
      </c>
      <c r="D34" s="93">
        <f>IFERROR(vlookup(A34,TSM!A:Q,10,FALSE),"")</f>
        <v>526433</v>
      </c>
      <c r="E34" s="93" t="str">
        <f t="shared" si="1"/>
        <v>Yes</v>
      </c>
      <c r="F34" s="93">
        <f t="shared" si="2"/>
        <v>0</v>
      </c>
      <c r="H34" s="172">
        <f>IFERROR(__xludf.DUMMYFUNCTION("""COMPUTED_VALUE"""),45919.067930798614)</f>
        <v>45919.06793</v>
      </c>
      <c r="I34" s="173">
        <f>IFERROR(vlookup(H34,TSM!A:Q,2,FALSE),"")</f>
        <v>45918</v>
      </c>
      <c r="J34" s="93">
        <f>IFERROR(vlookup(H34,TSM!A:Q,8,FALSE),"")</f>
        <v>34179</v>
      </c>
      <c r="K34" s="93">
        <f>IFERROR(vlookup(H34,TSM!A:Q,10,FALSE),"")</f>
        <v>0</v>
      </c>
      <c r="L34" s="93" t="str">
        <f t="shared" si="3"/>
        <v>No</v>
      </c>
      <c r="M34" s="93">
        <f t="shared" si="4"/>
        <v>34179</v>
      </c>
    </row>
    <row r="35">
      <c r="A35" s="172">
        <f>IFERROR(__xludf.DUMMYFUNCTION("""COMPUTED_VALUE"""),45910.84531791667)</f>
        <v>45910.84532</v>
      </c>
      <c r="B35" s="173">
        <f>IFERROR(vlookup(A35,TSM!A:Q,2,FALSE),"")</f>
        <v>45910</v>
      </c>
      <c r="C35" s="93">
        <f>IFERROR(vlookup(A35,TSM!A:Q,8,FALSE),"")</f>
        <v>526433</v>
      </c>
      <c r="D35" s="93">
        <f>IFERROR(vlookup(A35,TSM!A:Q,10,FALSE),"")</f>
        <v>485898</v>
      </c>
      <c r="E35" s="93" t="str">
        <f t="shared" si="1"/>
        <v>Yes</v>
      </c>
      <c r="F35" s="93">
        <f t="shared" si="2"/>
        <v>0</v>
      </c>
      <c r="I35" s="173" t="str">
        <f>IFERROR(vlookup(H35,TSM!A:Q,2,FALSE),"")</f>
        <v/>
      </c>
      <c r="J35" s="93" t="str">
        <f>IFERROR(vlookup(H35,TSM!A:Q,8,FALSE),"")</f>
        <v/>
      </c>
      <c r="K35" s="93" t="str">
        <f>IFERROR(vlookup(H35,TSM!A:Q,10,FALSE),"")</f>
        <v/>
      </c>
      <c r="M35" s="93">
        <f t="shared" si="4"/>
        <v>0</v>
      </c>
    </row>
    <row r="36">
      <c r="A36" s="172">
        <f>IFERROR(__xludf.DUMMYFUNCTION("""COMPUTED_VALUE"""),45910.8466731713)</f>
        <v>45910.84667</v>
      </c>
      <c r="B36" s="173">
        <f>IFERROR(vlookup(A36,TSM!A:Q,2,FALSE),"")</f>
        <v>45910</v>
      </c>
      <c r="C36" s="93">
        <f>IFERROR(vlookup(A36,TSM!A:Q,8,FALSE),"")</f>
        <v>485898</v>
      </c>
      <c r="D36" s="93">
        <f>IFERROR(vlookup(A36,TSM!A:Q,10,FALSE),"")</f>
        <v>435848</v>
      </c>
      <c r="E36" s="93" t="str">
        <f t="shared" si="1"/>
        <v>Yes</v>
      </c>
      <c r="F36" s="93">
        <f t="shared" si="2"/>
        <v>0</v>
      </c>
      <c r="I36" s="173" t="str">
        <f>IFERROR(vlookup(H36,TSM!A:Q,2,FALSE),"")</f>
        <v/>
      </c>
      <c r="J36" s="93" t="str">
        <f>IFERROR(vlookup(H36,TSM!A:Q,8,FALSE),"")</f>
        <v/>
      </c>
      <c r="K36" s="93" t="str">
        <f>IFERROR(vlookup(H36,TSM!A:Q,10,FALSE),"")</f>
        <v/>
      </c>
      <c r="M36" s="93">
        <f t="shared" si="4"/>
        <v>0</v>
      </c>
    </row>
    <row r="37">
      <c r="A37" s="172">
        <f>IFERROR(__xludf.DUMMYFUNCTION("""COMPUTED_VALUE"""),45910.8475044213)</f>
        <v>45910.8475</v>
      </c>
      <c r="B37" s="173">
        <f>IFERROR(vlookup(A37,TSM!A:Q,2,FALSE),"")</f>
        <v>45910</v>
      </c>
      <c r="C37" s="93">
        <f>IFERROR(vlookup(A37,TSM!A:Q,8,FALSE),"")</f>
        <v>435848</v>
      </c>
      <c r="D37" s="93">
        <f>IFERROR(vlookup(A37,TSM!A:Q,10,FALSE),"")</f>
        <v>387666</v>
      </c>
      <c r="E37" s="93" t="str">
        <f t="shared" si="1"/>
        <v>Yes</v>
      </c>
      <c r="F37" s="93">
        <f t="shared" si="2"/>
        <v>0</v>
      </c>
      <c r="I37" s="173" t="str">
        <f>IFERROR(vlookup(H37,TSM!A:Q,2,FALSE),"")</f>
        <v/>
      </c>
      <c r="J37" s="93" t="str">
        <f>IFERROR(vlookup(H37,TSM!A:Q,8,FALSE),"")</f>
        <v/>
      </c>
      <c r="K37" s="93" t="str">
        <f>IFERROR(vlookup(H37,TSM!A:Q,10,FALSE),"")</f>
        <v/>
      </c>
      <c r="M37" s="93">
        <f t="shared" si="4"/>
        <v>0</v>
      </c>
    </row>
    <row r="38">
      <c r="A38" s="172">
        <f>IFERROR(__xludf.DUMMYFUNCTION("""COMPUTED_VALUE"""),45910.85925925926)</f>
        <v>45910.85926</v>
      </c>
      <c r="B38" s="173">
        <f>IFERROR(vlookup(A38,TSM!A:Q,2,FALSE),"")</f>
        <v>45910</v>
      </c>
      <c r="C38" s="93">
        <f>IFERROR(vlookup(A38,TSM!A:Q,8,FALSE),"")</f>
        <v>387666</v>
      </c>
      <c r="D38" s="93">
        <f>IFERROR(vlookup(A38,TSM!A:Q,10,FALSE),"")</f>
        <v>358445</v>
      </c>
      <c r="E38" s="93" t="str">
        <f t="shared" si="1"/>
        <v>Yes</v>
      </c>
      <c r="F38" s="93">
        <f t="shared" si="2"/>
        <v>0</v>
      </c>
      <c r="I38" s="173" t="str">
        <f>IFERROR(vlookup(H38,TSM!A:Q,2,FALSE),"")</f>
        <v/>
      </c>
      <c r="J38" s="93" t="str">
        <f>IFERROR(vlookup(H38,TSM!A:Q,8,FALSE),"")</f>
        <v/>
      </c>
      <c r="K38" s="93" t="str">
        <f>IFERROR(vlookup(H38,TSM!A:Q,10,FALSE),"")</f>
        <v/>
      </c>
      <c r="M38" s="93">
        <f t="shared" si="4"/>
        <v>0</v>
      </c>
    </row>
    <row r="39">
      <c r="A39" s="172">
        <f>IFERROR(__xludf.DUMMYFUNCTION("""COMPUTED_VALUE"""),45918.08610627315)</f>
        <v>45918.08611</v>
      </c>
      <c r="B39" s="173">
        <f>IFERROR(vlookup(A39,TSM!A:Q,2,FALSE),"")</f>
        <v>45910</v>
      </c>
      <c r="C39" s="93">
        <f>IFERROR(vlookup(A39,TSM!A:Q,8,FALSE),"")</f>
        <v>358445</v>
      </c>
      <c r="D39" s="93">
        <f>IFERROR(vlookup(A39,TSM!A:Q,10,FALSE),"")</f>
        <v>325806</v>
      </c>
      <c r="E39" s="93" t="str">
        <f t="shared" si="1"/>
        <v>Yes</v>
      </c>
      <c r="F39" s="93">
        <f t="shared" si="2"/>
        <v>0</v>
      </c>
      <c r="I39" s="173" t="str">
        <f>IFERROR(vlookup(H39,TSM!A:Q,2,FALSE),"")</f>
        <v/>
      </c>
      <c r="J39" s="93" t="str">
        <f>IFERROR(vlookup(H39,TSM!A:Q,8,FALSE),"")</f>
        <v/>
      </c>
      <c r="K39" s="93" t="str">
        <f>IFERROR(vlookup(H39,TSM!A:Q,10,FALSE),"")</f>
        <v/>
      </c>
      <c r="M39" s="93">
        <f t="shared" si="4"/>
        <v>0</v>
      </c>
    </row>
    <row r="40">
      <c r="A40" s="172">
        <f>IFERROR(__xludf.DUMMYFUNCTION("""COMPUTED_VALUE"""),45918.088120810186)</f>
        <v>45918.08812</v>
      </c>
      <c r="B40" s="173">
        <f>IFERROR(vlookup(A40,TSM!A:Q,2,FALSE),"")</f>
        <v>45910</v>
      </c>
      <c r="C40" s="93">
        <f>IFERROR(vlookup(A40,TSM!A:Q,8,FALSE),"")</f>
        <v>325806</v>
      </c>
      <c r="D40" s="93">
        <f>IFERROR(vlookup(A40,TSM!A:Q,10,FALSE),"")</f>
        <v>282716</v>
      </c>
      <c r="E40" s="93" t="str">
        <f t="shared" si="1"/>
        <v>Yes</v>
      </c>
      <c r="F40" s="93">
        <f t="shared" si="2"/>
        <v>0</v>
      </c>
      <c r="I40" s="173" t="str">
        <f>IFERROR(vlookup(H40,TSM!A:Q,2,FALSE),"")</f>
        <v/>
      </c>
      <c r="J40" s="93" t="str">
        <f>IFERROR(vlookup(H40,TSM!A:Q,8,FALSE),"")</f>
        <v/>
      </c>
      <c r="K40" s="93" t="str">
        <f>IFERROR(vlookup(H40,TSM!A:Q,10,FALSE),"")</f>
        <v/>
      </c>
      <c r="M40" s="93">
        <f t="shared" si="4"/>
        <v>0</v>
      </c>
    </row>
    <row r="41">
      <c r="A41" s="172">
        <f>IFERROR(__xludf.DUMMYFUNCTION("""COMPUTED_VALUE"""),45918.09024335648)</f>
        <v>45918.09024</v>
      </c>
      <c r="B41" s="173">
        <f>IFERROR(vlookup(A41,TSM!A:Q,2,FALSE),"")</f>
        <v>45910</v>
      </c>
      <c r="C41" s="93">
        <f>IFERROR(vlookup(A41,TSM!A:Q,8,FALSE),"")</f>
        <v>282716</v>
      </c>
      <c r="D41" s="93">
        <f>IFERROR(vlookup(A41,TSM!A:Q,10,FALSE),"")</f>
        <v>264589</v>
      </c>
      <c r="E41" s="93" t="str">
        <f t="shared" si="1"/>
        <v>Yes</v>
      </c>
      <c r="F41" s="93">
        <f t="shared" si="2"/>
        <v>0</v>
      </c>
      <c r="I41" s="173" t="str">
        <f>IFERROR(vlookup(H41,TSM!A:Q,2,FALSE),"")</f>
        <v/>
      </c>
      <c r="J41" s="93" t="str">
        <f>IFERROR(vlookup(H41,TSM!A:Q,8,FALSE),"")</f>
        <v/>
      </c>
      <c r="K41" s="93" t="str">
        <f>IFERROR(vlookup(H41,TSM!A:Q,10,FALSE),"")</f>
        <v/>
      </c>
      <c r="M41" s="93">
        <f t="shared" si="4"/>
        <v>0</v>
      </c>
    </row>
    <row r="42">
      <c r="A42" s="172">
        <f>IFERROR(__xludf.DUMMYFUNCTION("""COMPUTED_VALUE"""),45918.093255416665)</f>
        <v>45918.09326</v>
      </c>
      <c r="B42" s="173">
        <f>IFERROR(vlookup(A42,TSM!A:Q,2,FALSE),"")</f>
        <v>45911</v>
      </c>
      <c r="C42" s="93">
        <f>IFERROR(vlookup(A42,TSM!A:Q,8,FALSE),"")</f>
        <v>264589</v>
      </c>
      <c r="D42" s="93">
        <f>IFERROR(vlookup(A42,TSM!A:Q,10,FALSE),"")</f>
        <v>222432</v>
      </c>
      <c r="E42" s="93" t="str">
        <f t="shared" si="1"/>
        <v>Yes</v>
      </c>
      <c r="F42" s="93">
        <f t="shared" si="2"/>
        <v>0</v>
      </c>
      <c r="I42" s="173" t="str">
        <f>IFERROR(vlookup(H42,TSM!A:Q,2,FALSE),"")</f>
        <v/>
      </c>
      <c r="J42" s="93" t="str">
        <f>IFERROR(vlookup(H42,TSM!A:Q,8,FALSE),"")</f>
        <v/>
      </c>
      <c r="K42" s="93" t="str">
        <f>IFERROR(vlookup(H42,TSM!A:Q,10,FALSE),"")</f>
        <v/>
      </c>
      <c r="M42" s="93">
        <f t="shared" si="4"/>
        <v>0</v>
      </c>
    </row>
    <row r="43">
      <c r="A43" s="172">
        <f>IFERROR(__xludf.DUMMYFUNCTION("""COMPUTED_VALUE"""),45918.09612747685)</f>
        <v>45918.09613</v>
      </c>
      <c r="B43" s="173">
        <f>IFERROR(vlookup(A43,TSM!A:Q,2,FALSE),"")</f>
        <v>45911</v>
      </c>
      <c r="C43" s="93">
        <f>IFERROR(vlookup(A43,TSM!A:Q,8,FALSE),"")</f>
        <v>222432</v>
      </c>
      <c r="D43" s="93">
        <f>IFERROR(vlookup(A43,TSM!A:Q,10,FALSE),"")</f>
        <v>178929</v>
      </c>
      <c r="E43" s="93" t="str">
        <f t="shared" si="1"/>
        <v>Yes</v>
      </c>
      <c r="F43" s="93">
        <f t="shared" si="2"/>
        <v>0</v>
      </c>
      <c r="I43" s="173" t="str">
        <f>IFERROR(vlookup(H43,TSM!A:Q,2,FALSE),"")</f>
        <v/>
      </c>
      <c r="J43" s="93" t="str">
        <f>IFERROR(vlookup(H43,TSM!A:Q,8,FALSE),"")</f>
        <v/>
      </c>
      <c r="K43" s="93" t="str">
        <f>IFERROR(vlookup(H43,TSM!A:Q,10,FALSE),"")</f>
        <v/>
      </c>
      <c r="M43" s="93">
        <f t="shared" si="4"/>
        <v>0</v>
      </c>
    </row>
    <row r="44">
      <c r="A44" s="172">
        <f>IFERROR(__xludf.DUMMYFUNCTION("""COMPUTED_VALUE"""),45918.10093927084)</f>
        <v>45918.10094</v>
      </c>
      <c r="B44" s="173">
        <f>IFERROR(vlookup(A44,TSM!A:Q,2,FALSE),"")</f>
        <v>45911</v>
      </c>
      <c r="C44" s="93">
        <f>IFERROR(vlookup(A44,TSM!A:Q,8,FALSE),"")</f>
        <v>178929</v>
      </c>
      <c r="D44" s="93">
        <f>IFERROR(vlookup(A44,TSM!A:Q,10,FALSE),"")</f>
        <v>146197</v>
      </c>
      <c r="E44" s="93" t="str">
        <f t="shared" si="1"/>
        <v>Yes</v>
      </c>
      <c r="F44" s="93">
        <f t="shared" si="2"/>
        <v>0</v>
      </c>
      <c r="I44" s="173" t="str">
        <f>IFERROR(vlookup(H44,TSM!A:Q,2,FALSE),"")</f>
        <v/>
      </c>
      <c r="J44" s="93" t="str">
        <f>IFERROR(vlookup(H44,TSM!A:Q,8,FALSE),"")</f>
        <v/>
      </c>
      <c r="K44" s="93" t="str">
        <f>IFERROR(vlookup(H44,TSM!A:Q,10,FALSE),"")</f>
        <v/>
      </c>
      <c r="M44" s="93">
        <f t="shared" si="4"/>
        <v>0</v>
      </c>
    </row>
    <row r="45">
      <c r="A45" s="172">
        <f>IFERROR(__xludf.DUMMYFUNCTION("""COMPUTED_VALUE"""),45918.103584861106)</f>
        <v>45918.10358</v>
      </c>
      <c r="B45" s="173">
        <f>IFERROR(vlookup(A45,TSM!A:Q,2,FALSE),"")</f>
        <v>45912</v>
      </c>
      <c r="C45" s="93">
        <f>IFERROR(vlookup(A45,TSM!A:Q,8,FALSE),"")</f>
        <v>146197</v>
      </c>
      <c r="D45" s="93">
        <f>IFERROR(vlookup(A45,TSM!A:Q,10,FALSE),"")</f>
        <v>137599</v>
      </c>
      <c r="E45" s="93" t="str">
        <f t="shared" si="1"/>
        <v>Yes</v>
      </c>
      <c r="F45" s="93">
        <f t="shared" si="2"/>
        <v>0</v>
      </c>
      <c r="I45" s="173" t="str">
        <f>IFERROR(vlookup(H45,TSM!A:Q,2,FALSE),"")</f>
        <v/>
      </c>
      <c r="J45" s="93" t="str">
        <f>IFERROR(vlookup(H45,TSM!A:Q,8,FALSE),"")</f>
        <v/>
      </c>
      <c r="K45" s="93" t="str">
        <f>IFERROR(vlookup(H45,TSM!A:Q,10,FALSE),"")</f>
        <v/>
      </c>
      <c r="M45" s="93">
        <f t="shared" si="4"/>
        <v>0</v>
      </c>
    </row>
    <row r="46">
      <c r="A46" s="172">
        <f>IFERROR(__xludf.DUMMYFUNCTION("""COMPUTED_VALUE"""),45918.10556247685)</f>
        <v>45918.10556</v>
      </c>
      <c r="B46" s="173">
        <f>IFERROR(vlookup(A46,TSM!A:Q,2,FALSE),"")</f>
        <v>45912</v>
      </c>
      <c r="C46" s="93">
        <f>IFERROR(vlookup(A46,TSM!A:Q,8,FALSE),"")</f>
        <v>137599</v>
      </c>
      <c r="D46" s="93">
        <f>IFERROR(vlookup(A46,TSM!A:Q,10,FALSE),"")</f>
        <v>120921</v>
      </c>
      <c r="E46" s="93" t="str">
        <f t="shared" si="1"/>
        <v>Yes</v>
      </c>
      <c r="F46" s="93">
        <f t="shared" si="2"/>
        <v>0</v>
      </c>
      <c r="I46" s="173" t="str">
        <f>IFERROR(vlookup(H46,TSM!A:Q,2,FALSE),"")</f>
        <v/>
      </c>
      <c r="J46" s="93" t="str">
        <f>IFERROR(vlookup(H46,TSM!A:Q,8,FALSE),"")</f>
        <v/>
      </c>
      <c r="K46" s="93" t="str">
        <f>IFERROR(vlookup(H46,TSM!A:Q,10,FALSE),"")</f>
        <v/>
      </c>
      <c r="M46" s="93">
        <f t="shared" si="4"/>
        <v>0</v>
      </c>
    </row>
    <row r="47">
      <c r="A47" s="172">
        <f>IFERROR(__xludf.DUMMYFUNCTION("""COMPUTED_VALUE"""),45918.10745099537)</f>
        <v>45918.10745</v>
      </c>
      <c r="B47" s="173">
        <f>IFERROR(vlookup(A47,TSM!A:Q,2,FALSE),"")</f>
        <v>45912</v>
      </c>
      <c r="C47" s="93">
        <f>IFERROR(vlookup(A47,TSM!A:Q,8,FALSE),"")</f>
        <v>120921</v>
      </c>
      <c r="D47" s="93">
        <f>IFERROR(vlookup(A47,TSM!A:Q,10,FALSE),"")</f>
        <v>81085</v>
      </c>
      <c r="E47" s="93" t="str">
        <f t="shared" si="1"/>
        <v>Yes</v>
      </c>
      <c r="F47" s="93">
        <f t="shared" si="2"/>
        <v>0</v>
      </c>
      <c r="I47" s="173" t="str">
        <f>IFERROR(vlookup(H47,TSM!A:Q,2,FALSE),"")</f>
        <v/>
      </c>
      <c r="J47" s="93" t="str">
        <f>IFERROR(vlookup(H47,TSM!A:Q,8,FALSE),"")</f>
        <v/>
      </c>
      <c r="K47" s="93" t="str">
        <f>IFERROR(vlookup(H47,TSM!A:Q,10,FALSE),"")</f>
        <v/>
      </c>
      <c r="M47" s="93">
        <f t="shared" si="4"/>
        <v>0</v>
      </c>
    </row>
    <row r="48">
      <c r="A48" s="172">
        <f>IFERROR(__xludf.DUMMYFUNCTION("""COMPUTED_VALUE"""),45918.109153032405)</f>
        <v>45918.10915</v>
      </c>
      <c r="B48" s="173">
        <f>IFERROR(vlookup(A48,TSM!A:Q,2,FALSE),"")</f>
        <v>45912</v>
      </c>
      <c r="C48" s="93">
        <f>IFERROR(vlookup(A48,TSM!A:Q,8,FALSE),"")</f>
        <v>81085</v>
      </c>
      <c r="D48" s="93">
        <f>IFERROR(vlookup(A48,TSM!A:Q,10,FALSE),"")</f>
        <v>47959</v>
      </c>
      <c r="E48" s="93" t="str">
        <f t="shared" si="1"/>
        <v>Yes</v>
      </c>
      <c r="F48" s="93">
        <f t="shared" si="2"/>
        <v>0</v>
      </c>
      <c r="I48" s="173" t="str">
        <f>IFERROR(vlookup(H48,TSM!A:Q,2,FALSE),"")</f>
        <v/>
      </c>
      <c r="J48" s="93" t="str">
        <f>IFERROR(vlookup(H48,TSM!A:Q,8,FALSE),"")</f>
        <v/>
      </c>
      <c r="K48" s="93" t="str">
        <f>IFERROR(vlookup(H48,TSM!A:Q,10,FALSE),"")</f>
        <v/>
      </c>
      <c r="M48" s="93">
        <f t="shared" si="4"/>
        <v>0</v>
      </c>
    </row>
    <row r="49">
      <c r="A49" s="172">
        <f>IFERROR(__xludf.DUMMYFUNCTION("""COMPUTED_VALUE"""),45918.11131303241)</f>
        <v>45918.11131</v>
      </c>
      <c r="B49" s="173">
        <f>IFERROR(vlookup(A49,TSM!A:Q,2,FALSE),"")</f>
        <v>45912</v>
      </c>
      <c r="C49" s="93">
        <f>IFERROR(vlookup(A49,TSM!A:Q,8,FALSE),"")</f>
        <v>47959</v>
      </c>
      <c r="D49" s="93">
        <f>IFERROR(vlookup(A49,TSM!A:Q,10,FALSE),"")</f>
        <v>20345</v>
      </c>
      <c r="E49" s="93" t="str">
        <f t="shared" si="1"/>
        <v>Yes</v>
      </c>
      <c r="F49" s="93">
        <f t="shared" si="2"/>
        <v>0</v>
      </c>
      <c r="I49" s="173" t="str">
        <f>IFERROR(vlookup(H49,TSM!A:Q,2,FALSE),"")</f>
        <v/>
      </c>
      <c r="J49" s="93" t="str">
        <f>IFERROR(vlookup(H49,TSM!A:Q,8,FALSE),"")</f>
        <v/>
      </c>
      <c r="K49" s="93" t="str">
        <f>IFERROR(vlookup(H49,TSM!A:Q,10,FALSE),"")</f>
        <v/>
      </c>
      <c r="M49" s="93">
        <f t="shared" si="4"/>
        <v>0</v>
      </c>
    </row>
    <row r="50">
      <c r="A50" s="172">
        <f>IFERROR(__xludf.DUMMYFUNCTION("""COMPUTED_VALUE"""),45918.40564571759)</f>
        <v>45918.40565</v>
      </c>
      <c r="B50" s="173">
        <f>IFERROR(vlookup(A50,TSM!A:Q,2,FALSE),"")</f>
        <v>45913</v>
      </c>
      <c r="C50" s="93">
        <f>IFERROR(vlookup(A50,TSM!A:Q,8,FALSE),"")</f>
        <v>20345</v>
      </c>
      <c r="D50" s="93">
        <f>IFERROR(vlookup(A50,TSM!A:Q,10,FALSE),"")</f>
        <v>2931</v>
      </c>
      <c r="E50" s="93" t="str">
        <f t="shared" si="1"/>
        <v>Yes</v>
      </c>
      <c r="F50" s="93">
        <f t="shared" si="2"/>
        <v>0</v>
      </c>
      <c r="I50" s="173" t="str">
        <f>IFERROR(vlookup(H50,TSM!A:Q,2,FALSE),"")</f>
        <v/>
      </c>
      <c r="J50" s="93" t="str">
        <f>IFERROR(vlookup(H50,TSM!A:Q,8,FALSE),"")</f>
        <v/>
      </c>
      <c r="K50" s="93" t="str">
        <f>IFERROR(vlookup(H50,TSM!A:Q,10,FALSE),"")</f>
        <v/>
      </c>
      <c r="M50" s="93">
        <f t="shared" si="4"/>
        <v>0</v>
      </c>
    </row>
    <row r="51">
      <c r="A51" s="172">
        <f>IFERROR(__xludf.DUMMYFUNCTION("""COMPUTED_VALUE"""),45918.40860819444)</f>
        <v>45918.40861</v>
      </c>
      <c r="B51" s="173">
        <f>IFERROR(vlookup(A51,TSM!A:Q,2,FALSE),"")</f>
        <v>45913</v>
      </c>
      <c r="C51" s="93">
        <f>IFERROR(vlookup(A51,TSM!A:Q,8,FALSE),"")</f>
        <v>2931</v>
      </c>
      <c r="D51" s="93">
        <f>IFERROR(vlookup(A51,TSM!A:Q,10,FALSE),"")</f>
        <v>0</v>
      </c>
      <c r="E51" s="93" t="str">
        <f t="shared" si="1"/>
        <v>Yes</v>
      </c>
      <c r="F51" s="93">
        <f t="shared" si="2"/>
        <v>0</v>
      </c>
      <c r="I51" s="173" t="str">
        <f>IFERROR(vlookup(H51,TSM!A:Q,2,FALSE),"")</f>
        <v/>
      </c>
      <c r="J51" s="93" t="str">
        <f>IFERROR(vlookup(H51,TSM!A:Q,8,FALSE),"")</f>
        <v/>
      </c>
      <c r="K51" s="93" t="str">
        <f>IFERROR(vlookup(H51,TSM!A:Q,10,FALSE),"")</f>
        <v/>
      </c>
      <c r="M51" s="93">
        <f t="shared" si="4"/>
        <v>0</v>
      </c>
    </row>
    <row r="52">
      <c r="B52" s="173" t="str">
        <f>IFERROR(vlookup(A52,TSM!A:Q,8,FALSE),"")</f>
        <v/>
      </c>
      <c r="F52" s="93">
        <f t="shared" si="2"/>
        <v>0</v>
      </c>
      <c r="I52" s="173" t="str">
        <f>IFERROR(vlookup(H52,TSM!A:Q,2,FALSE),"")</f>
        <v/>
      </c>
      <c r="M52" s="93">
        <f t="shared" si="4"/>
        <v>0</v>
      </c>
    </row>
    <row r="53">
      <c r="B53" s="173" t="str">
        <f>IFERROR(vlookup(A53,TSM!A:Q,8,FALSE),"")</f>
        <v/>
      </c>
      <c r="F53" s="93">
        <f t="shared" si="2"/>
        <v>0</v>
      </c>
      <c r="I53" s="173" t="str">
        <f>IFERROR(vlookup(H53,TSM!A:Q,2,FALSE),"")</f>
        <v/>
      </c>
      <c r="M53" s="93">
        <f t="shared" si="4"/>
        <v>0</v>
      </c>
    </row>
    <row r="54">
      <c r="B54" s="173" t="str">
        <f>IFERROR(vlookup(A54,TSM!A:Q,8,FALSE),"")</f>
        <v/>
      </c>
      <c r="F54" s="93">
        <f t="shared" si="2"/>
        <v>0</v>
      </c>
      <c r="I54" s="173" t="str">
        <f>IFERROR(vlookup(H54,TSM!A:Q,2,FALSE),"")</f>
        <v/>
      </c>
      <c r="M54" s="93">
        <f t="shared" si="4"/>
        <v>0</v>
      </c>
    </row>
    <row r="55">
      <c r="B55" s="173" t="str">
        <f>IFERROR(vlookup(A55,TSM!A:Q,8,FALSE),"")</f>
        <v/>
      </c>
      <c r="F55" s="93">
        <f t="shared" si="2"/>
        <v>0</v>
      </c>
      <c r="I55" s="173" t="str">
        <f>IFERROR(vlookup(H55,TSM!A:Q,2,FALSE),"")</f>
        <v/>
      </c>
      <c r="M55" s="93">
        <f t="shared" si="4"/>
        <v>0</v>
      </c>
    </row>
    <row r="56">
      <c r="B56" s="173" t="str">
        <f>IFERROR(vlookup(A56,TSM!A:Q,8,FALSE),"")</f>
        <v/>
      </c>
      <c r="F56" s="93">
        <f t="shared" si="2"/>
        <v>0</v>
      </c>
      <c r="I56" s="173" t="str">
        <f>IFERROR(vlookup(H56,TSM!A:Q,2,FALSE),"")</f>
        <v/>
      </c>
      <c r="M56" s="93">
        <f t="shared" si="4"/>
        <v>0</v>
      </c>
    </row>
    <row r="57">
      <c r="B57" s="173" t="str">
        <f>IFERROR(vlookup(A57,TSM!A:Q,8,FALSE),"")</f>
        <v/>
      </c>
      <c r="F57" s="93">
        <f t="shared" si="2"/>
        <v>0</v>
      </c>
      <c r="I57" s="173" t="str">
        <f>IFERROR(vlookup(H57,TSM!A:Q,2,FALSE),"")</f>
        <v/>
      </c>
      <c r="M57" s="93">
        <f t="shared" si="4"/>
        <v>0</v>
      </c>
    </row>
    <row r="58">
      <c r="B58" s="173" t="str">
        <f>IFERROR(vlookup(A58,TSM!A:Q,8,FALSE),"")</f>
        <v/>
      </c>
      <c r="F58" s="93">
        <f t="shared" si="2"/>
        <v>0</v>
      </c>
      <c r="I58" s="173" t="str">
        <f>IFERROR(vlookup(H58,TSM!A:Q,2,FALSE),"")</f>
        <v/>
      </c>
      <c r="M58" s="93">
        <f t="shared" si="4"/>
        <v>0</v>
      </c>
    </row>
    <row r="59">
      <c r="B59" s="173" t="str">
        <f>IFERROR(vlookup(A59,TSM!A:Q,8,FALSE),"")</f>
        <v/>
      </c>
      <c r="F59" s="93">
        <f t="shared" si="2"/>
        <v>0</v>
      </c>
      <c r="I59" s="173" t="str">
        <f>IFERROR(vlookup(H59,TSM!A:Q,2,FALSE),"")</f>
        <v/>
      </c>
      <c r="M59" s="93">
        <f t="shared" si="4"/>
        <v>0</v>
      </c>
    </row>
    <row r="60">
      <c r="B60" s="173" t="str">
        <f>IFERROR(vlookup(A60,TSM!A:Q,8,FALSE),"")</f>
        <v/>
      </c>
      <c r="F60" s="93">
        <f t="shared" si="2"/>
        <v>0</v>
      </c>
      <c r="I60" s="173" t="str">
        <f>IFERROR(vlookup(A59,TSM!A:Q,2,FALSE),"")</f>
        <v/>
      </c>
      <c r="M60" s="93">
        <f t="shared" si="4"/>
        <v>0</v>
      </c>
    </row>
    <row r="61">
      <c r="B61" s="173" t="str">
        <f>IFERROR(vlookup(A61,TSM!A:Q,8,FALSE),"")</f>
        <v/>
      </c>
      <c r="F61" s="93">
        <f t="shared" si="2"/>
        <v>0</v>
      </c>
      <c r="I61" s="173" t="str">
        <f>IFERROR(vlookup(A60,TSM!A:Q,2,FALSE),"")</f>
        <v/>
      </c>
      <c r="M61" s="93">
        <f t="shared" si="4"/>
        <v>0</v>
      </c>
    </row>
    <row r="62">
      <c r="B62" s="173" t="str">
        <f>IFERROR(vlookup(A62,TSM!A:Q,8,FALSE),"")</f>
        <v/>
      </c>
      <c r="F62" s="93">
        <f t="shared" si="2"/>
        <v>0</v>
      </c>
      <c r="I62" s="173" t="str">
        <f>IFERROR(vlookup(A61,TSM!A:Q,2,FALSE),"")</f>
        <v/>
      </c>
      <c r="M62" s="93">
        <f t="shared" si="4"/>
        <v>0</v>
      </c>
    </row>
    <row r="63">
      <c r="B63" s="173" t="str">
        <f>IFERROR(vlookup(A63,TSM!A:Q,8,FALSE),"")</f>
        <v/>
      </c>
      <c r="F63" s="93">
        <f t="shared" si="2"/>
        <v>0</v>
      </c>
      <c r="I63" s="173" t="str">
        <f>IFERROR(vlookup(A62,TSM!A:Q,2,FALSE),"")</f>
        <v/>
      </c>
      <c r="M63" s="93">
        <f t="shared" si="4"/>
        <v>0</v>
      </c>
    </row>
    <row r="64">
      <c r="B64" s="173" t="str">
        <f>IFERROR(vlookup(A64,TSM!A:Q,8,FALSE),"")</f>
        <v/>
      </c>
      <c r="F64" s="93">
        <f t="shared" si="2"/>
        <v>0</v>
      </c>
      <c r="I64" s="173" t="str">
        <f>IFERROR(vlookup(A63,TSM!A:Q,2,FALSE),"")</f>
        <v/>
      </c>
      <c r="M64" s="93">
        <f t="shared" si="4"/>
        <v>0</v>
      </c>
    </row>
    <row r="65">
      <c r="B65" s="173" t="str">
        <f>IFERROR(vlookup(A65,TSM!A:Q,8,FALSE),"")</f>
        <v/>
      </c>
      <c r="F65" s="93">
        <f t="shared" si="2"/>
        <v>0</v>
      </c>
      <c r="I65" s="173" t="str">
        <f>IFERROR(vlookup(A64,TSM!A:Q,2,FALSE),"")</f>
        <v/>
      </c>
      <c r="M65" s="93">
        <f t="shared" si="4"/>
        <v>0</v>
      </c>
    </row>
    <row r="66">
      <c r="B66" s="173" t="str">
        <f>IFERROR(vlookup(A66,TSM!A:Q,8,FALSE),"")</f>
        <v/>
      </c>
      <c r="F66" s="93">
        <f t="shared" si="2"/>
        <v>0</v>
      </c>
      <c r="I66" s="173" t="str">
        <f>IFERROR(vlookup(A65,TSM!A:Q,2,FALSE),"")</f>
        <v/>
      </c>
      <c r="M66" s="93">
        <f t="shared" si="4"/>
        <v>0</v>
      </c>
    </row>
    <row r="67">
      <c r="B67" s="173" t="str">
        <f>IFERROR(vlookup(A67,TSM!A:Q,8,FALSE),"")</f>
        <v/>
      </c>
      <c r="F67" s="93">
        <f t="shared" si="2"/>
        <v>0</v>
      </c>
      <c r="I67" s="173" t="str">
        <f>IFERROR(vlookup(A66,TSM!A:Q,2,FALSE),"")</f>
        <v/>
      </c>
      <c r="M67" s="93">
        <f t="shared" si="4"/>
        <v>0</v>
      </c>
    </row>
    <row r="68">
      <c r="B68" s="173" t="str">
        <f>IFERROR(vlookup(A68,TSM!A:Q,8,FALSE),"")</f>
        <v/>
      </c>
      <c r="F68" s="93">
        <f t="shared" si="2"/>
        <v>0</v>
      </c>
      <c r="I68" s="173" t="str">
        <f>IFERROR(vlookup(A67,TSM!A:Q,2,FALSE),"")</f>
        <v/>
      </c>
      <c r="M68" s="93">
        <f t="shared" si="4"/>
        <v>0</v>
      </c>
    </row>
    <row r="69">
      <c r="B69" s="173" t="str">
        <f>IFERROR(vlookup(A69,TSM!A:Q,8,FALSE),"")</f>
        <v/>
      </c>
      <c r="F69" s="93">
        <f t="shared" si="2"/>
        <v>0</v>
      </c>
      <c r="I69" s="173" t="str">
        <f>IFERROR(vlookup(A68,TSM!A:Q,2,FALSE),"")</f>
        <v/>
      </c>
      <c r="M69" s="93">
        <f t="shared" si="4"/>
        <v>0</v>
      </c>
    </row>
    <row r="70">
      <c r="B70" s="173" t="str">
        <f>IFERROR(vlookup(A70,TSM!A:Q,8,FALSE),"")</f>
        <v/>
      </c>
      <c r="F70" s="93">
        <f t="shared" si="2"/>
        <v>0</v>
      </c>
      <c r="I70" s="173" t="str">
        <f>IFERROR(vlookup(A69,TSM!A:Q,2,FALSE),"")</f>
        <v/>
      </c>
      <c r="M70" s="93">
        <f t="shared" si="4"/>
        <v>0</v>
      </c>
    </row>
    <row r="71">
      <c r="B71" s="173" t="str">
        <f>IFERROR(vlookup(A71,TSM!A:Q,8,FALSE),"")</f>
        <v/>
      </c>
      <c r="F71" s="93">
        <f t="shared" si="2"/>
        <v>0</v>
      </c>
      <c r="I71" s="173" t="str">
        <f>IFERROR(vlookup(A70,TSM!A:Q,2,FALSE),"")</f>
        <v/>
      </c>
      <c r="M71" s="93">
        <f t="shared" si="4"/>
        <v>0</v>
      </c>
    </row>
    <row r="72">
      <c r="B72" s="173" t="str">
        <f>IFERROR(vlookup(A72,TSM!A:Q,8,FALSE),"")</f>
        <v/>
      </c>
      <c r="F72" s="93">
        <f t="shared" si="2"/>
        <v>0</v>
      </c>
      <c r="I72" s="173" t="str">
        <f>IFERROR(vlookup(A71,TSM!A:Q,2,FALSE),"")</f>
        <v/>
      </c>
      <c r="M72" s="93">
        <f t="shared" si="4"/>
        <v>0</v>
      </c>
    </row>
    <row r="73">
      <c r="B73" s="173" t="str">
        <f>IFERROR(vlookup(A73,TSM!A:Q,8,FALSE),"")</f>
        <v/>
      </c>
      <c r="F73" s="93">
        <f t="shared" si="2"/>
        <v>0</v>
      </c>
      <c r="I73" s="173" t="str">
        <f>IFERROR(vlookup(A72,TSM!A:Q,2,FALSE),"")</f>
        <v/>
      </c>
      <c r="M73" s="93">
        <f t="shared" si="4"/>
        <v>0</v>
      </c>
    </row>
    <row r="74">
      <c r="B74" s="173" t="str">
        <f>IFERROR(vlookup(A74,TSM!A:Q,8,FALSE),"")</f>
        <v/>
      </c>
      <c r="F74" s="93">
        <f t="shared" si="2"/>
        <v>0</v>
      </c>
      <c r="I74" s="173" t="str">
        <f>IFERROR(vlookup(A73,TSM!A:Q,2,FALSE),"")</f>
        <v/>
      </c>
      <c r="M74" s="93">
        <f t="shared" si="4"/>
        <v>0</v>
      </c>
    </row>
    <row r="75">
      <c r="B75" s="173" t="str">
        <f>IFERROR(vlookup(A75,TSM!A:Q,8,FALSE),"")</f>
        <v/>
      </c>
      <c r="F75" s="93">
        <f t="shared" si="2"/>
        <v>0</v>
      </c>
      <c r="I75" s="173" t="str">
        <f>IFERROR(vlookup(A74,TSM!A:Q,2,FALSE),"")</f>
        <v/>
      </c>
      <c r="M75" s="93">
        <f t="shared" si="4"/>
        <v>0</v>
      </c>
    </row>
    <row r="76">
      <c r="B76" s="173" t="str">
        <f>IFERROR(vlookup(A76,TSM!A:Q,8,FALSE),"")</f>
        <v/>
      </c>
      <c r="F76" s="93">
        <f t="shared" si="2"/>
        <v>0</v>
      </c>
      <c r="I76" s="173" t="str">
        <f>IFERROR(vlookup(A75,TSM!A:Q,2,FALSE),"")</f>
        <v/>
      </c>
      <c r="M76" s="93">
        <f t="shared" si="4"/>
        <v>0</v>
      </c>
    </row>
    <row r="77">
      <c r="B77" s="173" t="str">
        <f>IFERROR(vlookup(A77,TSM!A:Q,8,FALSE),"")</f>
        <v/>
      </c>
      <c r="F77" s="93">
        <f t="shared" si="2"/>
        <v>0</v>
      </c>
      <c r="I77" s="173" t="str">
        <f>IFERROR(vlookup(A76,TSM!A:Q,2,FALSE),"")</f>
        <v/>
      </c>
      <c r="M77" s="93">
        <f t="shared" si="4"/>
        <v>0</v>
      </c>
    </row>
    <row r="78">
      <c r="B78" s="173" t="str">
        <f>IFERROR(vlookup(A78,TSM!A:Q,8,FALSE),"")</f>
        <v/>
      </c>
      <c r="F78" s="93">
        <f t="shared" si="2"/>
        <v>0</v>
      </c>
      <c r="I78" s="173" t="str">
        <f>IFERROR(vlookup(A77,TSM!A:Q,2,FALSE),"")</f>
        <v/>
      </c>
      <c r="M78" s="93">
        <f t="shared" si="4"/>
        <v>0</v>
      </c>
    </row>
    <row r="79">
      <c r="B79" s="173" t="str">
        <f>IFERROR(vlookup(A79,TSM!A:Q,8,FALSE),"")</f>
        <v/>
      </c>
      <c r="F79" s="93">
        <f t="shared" si="2"/>
        <v>0</v>
      </c>
      <c r="I79" s="173" t="str">
        <f>IFERROR(vlookup(A78,TSM!A:Q,2,FALSE),"")</f>
        <v/>
      </c>
      <c r="M79" s="93">
        <f t="shared" si="4"/>
        <v>0</v>
      </c>
    </row>
    <row r="80">
      <c r="B80" s="173" t="str">
        <f>IFERROR(vlookup(A80,TSM!A:Q,8,FALSE),"")</f>
        <v/>
      </c>
      <c r="F80" s="93">
        <f t="shared" si="2"/>
        <v>0</v>
      </c>
      <c r="I80" s="173" t="str">
        <f>IFERROR(vlookup(A79,TSM!A:Q,2,FALSE),"")</f>
        <v/>
      </c>
      <c r="M80" s="93">
        <f t="shared" si="4"/>
        <v>0</v>
      </c>
    </row>
    <row r="81">
      <c r="B81" s="173" t="str">
        <f>IFERROR(vlookup(A81,TSM!A:Q,8,FALSE),"")</f>
        <v/>
      </c>
      <c r="F81" s="93">
        <f t="shared" si="2"/>
        <v>0</v>
      </c>
      <c r="I81" s="173" t="str">
        <f>IFERROR(vlookup(A80,TSM!A:Q,2,FALSE),"")</f>
        <v/>
      </c>
      <c r="M81" s="93">
        <f t="shared" si="4"/>
        <v>0</v>
      </c>
    </row>
    <row r="82">
      <c r="B82" s="173" t="str">
        <f>IFERROR(vlookup(A82,TSM!A:Q,8,FALSE),"")</f>
        <v/>
      </c>
      <c r="F82" s="93">
        <f t="shared" si="2"/>
        <v>0</v>
      </c>
      <c r="I82" s="173" t="str">
        <f>IFERROR(vlookup(A81,TSM!A:Q,2,FALSE),"")</f>
        <v/>
      </c>
      <c r="M82" s="93">
        <f t="shared" si="4"/>
        <v>0</v>
      </c>
    </row>
    <row r="83">
      <c r="B83" s="173" t="str">
        <f>IFERROR(vlookup(A83,TSM!A:Q,8,FALSE),"")</f>
        <v/>
      </c>
      <c r="F83" s="93">
        <f t="shared" si="2"/>
        <v>0</v>
      </c>
      <c r="I83" s="173" t="str">
        <f>IFERROR(vlookup(A82,TSM!A:Q,2,FALSE),"")</f>
        <v/>
      </c>
      <c r="M83" s="93">
        <f t="shared" si="4"/>
        <v>0</v>
      </c>
    </row>
    <row r="84">
      <c r="B84" s="173" t="str">
        <f>IFERROR(vlookup(A84,TSM!A:Q,8,FALSE),"")</f>
        <v/>
      </c>
      <c r="F84" s="93">
        <f t="shared" si="2"/>
        <v>0</v>
      </c>
      <c r="I84" s="173" t="str">
        <f>IFERROR(vlookup(A83,TSM!A:Q,2,FALSE),"")</f>
        <v/>
      </c>
      <c r="M84" s="93">
        <f t="shared" si="4"/>
        <v>0</v>
      </c>
    </row>
    <row r="85">
      <c r="B85" s="173" t="str">
        <f>IFERROR(vlookup(A85,TSM!A:Q,8,FALSE),"")</f>
        <v/>
      </c>
      <c r="F85" s="93">
        <f t="shared" si="2"/>
        <v>0</v>
      </c>
      <c r="I85" s="173" t="str">
        <f>IFERROR(vlookup(A84,TSM!A:Q,2,FALSE),"")</f>
        <v/>
      </c>
      <c r="M85" s="93">
        <f t="shared" si="4"/>
        <v>0</v>
      </c>
    </row>
    <row r="86">
      <c r="B86" s="173" t="str">
        <f>IFERROR(vlookup(A86,TSM!A:Q,8,FALSE),"")</f>
        <v/>
      </c>
      <c r="F86" s="93">
        <f t="shared" si="2"/>
        <v>0</v>
      </c>
      <c r="I86" s="173" t="str">
        <f>IFERROR(vlookup(A85,TSM!A:Q,2,FALSE),"")</f>
        <v/>
      </c>
      <c r="M86" s="93">
        <f t="shared" si="4"/>
        <v>0</v>
      </c>
    </row>
    <row r="87">
      <c r="B87" s="173" t="str">
        <f>IFERROR(vlookup(A87,TSM!A:Q,8,FALSE),"")</f>
        <v/>
      </c>
      <c r="F87" s="93">
        <f t="shared" si="2"/>
        <v>0</v>
      </c>
      <c r="I87" s="173" t="str">
        <f>IFERROR(vlookup(A86,TSM!A:Q,2,FALSE),"")</f>
        <v/>
      </c>
      <c r="M87" s="93">
        <f t="shared" si="4"/>
        <v>0</v>
      </c>
    </row>
    <row r="88">
      <c r="B88" s="173" t="str">
        <f>IFERROR(vlookup(A88,TSM!A:Q,8,FALSE),"")</f>
        <v/>
      </c>
      <c r="F88" s="93">
        <f t="shared" si="2"/>
        <v>0</v>
      </c>
      <c r="I88" s="173" t="str">
        <f>IFERROR(vlookup(A87,TSM!A:Q,2,FALSE),"")</f>
        <v/>
      </c>
      <c r="M88" s="93">
        <f t="shared" si="4"/>
        <v>0</v>
      </c>
    </row>
    <row r="89">
      <c r="B89" s="173" t="str">
        <f>IFERROR(vlookup(A89,TSM!A:Q,8,FALSE),"")</f>
        <v/>
      </c>
      <c r="F89" s="93">
        <f t="shared" si="2"/>
        <v>0</v>
      </c>
      <c r="I89" s="173" t="str">
        <f>IFERROR(vlookup(A88,TSM!A:Q,2,FALSE),"")</f>
        <v/>
      </c>
      <c r="M89" s="93">
        <f t="shared" si="4"/>
        <v>0</v>
      </c>
    </row>
    <row r="90">
      <c r="B90" s="173" t="str">
        <f>IFERROR(vlookup(A90,TSM!A:Q,8,FALSE),"")</f>
        <v/>
      </c>
      <c r="F90" s="93">
        <f t="shared" si="2"/>
        <v>0</v>
      </c>
      <c r="I90" s="173" t="str">
        <f>IFERROR(vlookup(A89,TSM!A:Q,2,FALSE),"")</f>
        <v/>
      </c>
      <c r="M90" s="93">
        <f t="shared" si="4"/>
        <v>0</v>
      </c>
    </row>
    <row r="91">
      <c r="B91" s="173" t="str">
        <f>IFERROR(vlookup(A91,TSM!A:Q,8,FALSE),"")</f>
        <v/>
      </c>
      <c r="F91" s="93">
        <f t="shared" si="2"/>
        <v>0</v>
      </c>
      <c r="I91" s="173" t="str">
        <f>IFERROR(vlookup(A90,TSM!A:Q,2,FALSE),"")</f>
        <v/>
      </c>
      <c r="M91" s="93">
        <f t="shared" si="4"/>
        <v>0</v>
      </c>
    </row>
    <row r="92">
      <c r="B92" s="173" t="str">
        <f>IFERROR(vlookup(A92,TSM!A:Q,8,FALSE),"")</f>
        <v/>
      </c>
      <c r="F92" s="93">
        <f t="shared" si="2"/>
        <v>0</v>
      </c>
      <c r="I92" s="173" t="str">
        <f>IFERROR(vlookup(A91,TSM!A:Q,2,FALSE),"")</f>
        <v/>
      </c>
      <c r="M92" s="93">
        <f t="shared" si="4"/>
        <v>0</v>
      </c>
    </row>
    <row r="93">
      <c r="B93" s="173" t="str">
        <f>IFERROR(vlookup(A93,TSM!A:Q,8,FALSE),"")</f>
        <v/>
      </c>
      <c r="F93" s="93">
        <f t="shared" si="2"/>
        <v>0</v>
      </c>
      <c r="I93" s="173" t="str">
        <f>IFERROR(vlookup(A92,TSM!A:Q,2,FALSE),"")</f>
        <v/>
      </c>
      <c r="M93" s="93">
        <f t="shared" si="4"/>
        <v>0</v>
      </c>
    </row>
    <row r="94">
      <c r="B94" s="173" t="str">
        <f>IFERROR(vlookup(A94,TSM!A:Q,8,FALSE),"")</f>
        <v/>
      </c>
      <c r="F94" s="93">
        <f t="shared" si="2"/>
        <v>0</v>
      </c>
      <c r="I94" s="173" t="str">
        <f>IFERROR(vlookup(A93,TSM!A:Q,2,FALSE),"")</f>
        <v/>
      </c>
      <c r="M94" s="93">
        <f t="shared" si="4"/>
        <v>0</v>
      </c>
    </row>
    <row r="95">
      <c r="B95" s="173" t="str">
        <f>IFERROR(vlookup(A95,TSM!A:Q,8,FALSE),"")</f>
        <v/>
      </c>
      <c r="F95" s="93">
        <f t="shared" si="2"/>
        <v>0</v>
      </c>
      <c r="I95" s="173" t="str">
        <f>IFERROR(vlookup(A94,TSM!A:Q,2,FALSE),"")</f>
        <v/>
      </c>
      <c r="M95" s="93">
        <f t="shared" si="4"/>
        <v>0</v>
      </c>
    </row>
    <row r="96">
      <c r="B96" s="173" t="str">
        <f>IFERROR(vlookup(A96,TSM!A:Q,8,FALSE),"")</f>
        <v/>
      </c>
      <c r="F96" s="93">
        <f t="shared" si="2"/>
        <v>0</v>
      </c>
      <c r="I96" s="173" t="str">
        <f>IFERROR(vlookup(A95,TSM!A:Q,2,FALSE),"")</f>
        <v/>
      </c>
      <c r="M96" s="93">
        <f t="shared" si="4"/>
        <v>0</v>
      </c>
    </row>
    <row r="97">
      <c r="B97" s="173" t="str">
        <f>IFERROR(vlookup(A97,TSM!A:Q,8,FALSE),"")</f>
        <v/>
      </c>
      <c r="F97" s="93">
        <f t="shared" si="2"/>
        <v>0</v>
      </c>
      <c r="I97" s="173" t="str">
        <f>IFERROR(vlookup(A96,TSM!A:Q,2,FALSE),"")</f>
        <v/>
      </c>
      <c r="M97" s="93">
        <f t="shared" si="4"/>
        <v>0</v>
      </c>
    </row>
    <row r="98">
      <c r="B98" s="173" t="str">
        <f>IFERROR(vlookup(A98,TSM!A:Q,8,FALSE),"")</f>
        <v/>
      </c>
      <c r="F98" s="93">
        <f t="shared" si="2"/>
        <v>0</v>
      </c>
      <c r="I98" s="173" t="str">
        <f>IFERROR(vlookup(A97,TSM!A:Q,2,FALSE),"")</f>
        <v/>
      </c>
      <c r="M98" s="93">
        <f t="shared" si="4"/>
        <v>0</v>
      </c>
    </row>
    <row r="99">
      <c r="B99" s="173" t="str">
        <f>IFERROR(vlookup(A99,TSM!A:Q,8,FALSE),"")</f>
        <v/>
      </c>
      <c r="F99" s="93">
        <f t="shared" si="2"/>
        <v>0</v>
      </c>
      <c r="I99" s="173" t="str">
        <f>IFERROR(vlookup(A98,TSM!A:Q,2,FALSE),"")</f>
        <v/>
      </c>
      <c r="M99" s="93">
        <f t="shared" si="4"/>
        <v>0</v>
      </c>
    </row>
    <row r="100">
      <c r="B100" s="173" t="str">
        <f>IFERROR(vlookup(A100,TSM!A:Q,8,FALSE),"")</f>
        <v/>
      </c>
      <c r="F100" s="93">
        <f t="shared" si="2"/>
        <v>0</v>
      </c>
      <c r="I100" s="173" t="str">
        <f>IFERROR(vlookup(A99,TSM!A:Q,2,FALSE),"")</f>
        <v/>
      </c>
      <c r="M100" s="93">
        <f t="shared" si="4"/>
        <v>0</v>
      </c>
    </row>
    <row r="101">
      <c r="B101" s="173" t="str">
        <f>IFERROR(vlookup(A101,TSM!A:Q,8,FALSE),"")</f>
        <v/>
      </c>
      <c r="F101" s="93">
        <f t="shared" si="2"/>
        <v>0</v>
      </c>
      <c r="I101" s="173" t="str">
        <f>IFERROR(vlookup(A100,TSM!A:Q,2,FALSE),"")</f>
        <v/>
      </c>
      <c r="M101" s="93">
        <f t="shared" si="4"/>
        <v>0</v>
      </c>
    </row>
    <row r="102">
      <c r="B102" s="173" t="str">
        <f>IFERROR(vlookup(A102,TSM!A:Q,8,FALSE),"")</f>
        <v/>
      </c>
      <c r="F102" s="93">
        <f t="shared" si="2"/>
        <v>0</v>
      </c>
      <c r="I102" s="173" t="str">
        <f>IFERROR(vlookup(A101,TSM!A:Q,2,FALSE),"")</f>
        <v/>
      </c>
      <c r="M102" s="93">
        <f t="shared" si="4"/>
        <v>0</v>
      </c>
    </row>
    <row r="103">
      <c r="B103" s="173" t="str">
        <f>IFERROR(vlookup(A103,TSM!A:Q,8,FALSE),"")</f>
        <v/>
      </c>
      <c r="F103" s="93">
        <f t="shared" si="2"/>
        <v>0</v>
      </c>
      <c r="I103" s="173" t="str">
        <f>IFERROR(vlookup(A102,TSM!A:Q,2,FALSE),"")</f>
        <v/>
      </c>
      <c r="M103" s="93">
        <f t="shared" si="4"/>
        <v>0</v>
      </c>
    </row>
    <row r="104">
      <c r="B104" s="173" t="str">
        <f>IFERROR(vlookup(A104,TSM!A:Q,8,FALSE),"")</f>
        <v/>
      </c>
      <c r="F104" s="93">
        <f t="shared" si="2"/>
        <v>0</v>
      </c>
      <c r="I104" s="173" t="str">
        <f>IFERROR(vlookup(A103,TSM!A:Q,2,FALSE),"")</f>
        <v/>
      </c>
      <c r="M104" s="93">
        <f t="shared" si="4"/>
        <v>0</v>
      </c>
    </row>
    <row r="105">
      <c r="B105" s="173" t="str">
        <f>IFERROR(vlookup(A105,TSM!A:Q,8,FALSE),"")</f>
        <v/>
      </c>
      <c r="F105" s="93">
        <f t="shared" si="2"/>
        <v>0</v>
      </c>
      <c r="I105" s="173" t="str">
        <f>IFERROR(vlookup(A104,TSM!A:Q,2,FALSE),"")</f>
        <v/>
      </c>
      <c r="M105" s="93">
        <f t="shared" si="4"/>
        <v>0</v>
      </c>
    </row>
    <row r="106">
      <c r="B106" s="173" t="str">
        <f>IFERROR(vlookup(A106,TSM!A:Q,8,FALSE),"")</f>
        <v/>
      </c>
      <c r="F106" s="93">
        <f t="shared" si="2"/>
        <v>0</v>
      </c>
      <c r="I106" s="173" t="str">
        <f>IFERROR(vlookup(A105,TSM!A:Q,2,FALSE),"")</f>
        <v/>
      </c>
      <c r="M106" s="93">
        <f t="shared" si="4"/>
        <v>0</v>
      </c>
    </row>
    <row r="107">
      <c r="B107" s="173" t="str">
        <f>IFERROR(vlookup(A107,TSM!A:Q,8,FALSE),"")</f>
        <v/>
      </c>
      <c r="F107" s="93">
        <f t="shared" si="2"/>
        <v>0</v>
      </c>
      <c r="I107" s="173" t="str">
        <f>IFERROR(vlookup(A106,TSM!A:Q,2,FALSE),"")</f>
        <v/>
      </c>
      <c r="M107" s="93">
        <f t="shared" si="4"/>
        <v>0</v>
      </c>
    </row>
    <row r="108">
      <c r="B108" s="173" t="str">
        <f>IFERROR(vlookup(A108,TSM!A:Q,8,FALSE),"")</f>
        <v/>
      </c>
      <c r="F108" s="93">
        <f t="shared" si="2"/>
        <v>0</v>
      </c>
      <c r="I108" s="173" t="str">
        <f>IFERROR(vlookup(A107,TSM!A:Q,2,FALSE),"")</f>
        <v/>
      </c>
      <c r="M108" s="93">
        <f t="shared" si="4"/>
        <v>0</v>
      </c>
    </row>
    <row r="109">
      <c r="B109" s="173" t="str">
        <f>IFERROR(vlookup(A109,TSM!A:Q,8,FALSE),"")</f>
        <v/>
      </c>
      <c r="F109" s="93">
        <f t="shared" si="2"/>
        <v>0</v>
      </c>
      <c r="I109" s="173" t="str">
        <f>IFERROR(vlookup(A108,TSM!A:Q,2,FALSE),"")</f>
        <v/>
      </c>
      <c r="M109" s="93">
        <f t="shared" si="4"/>
        <v>0</v>
      </c>
    </row>
    <row r="110">
      <c r="B110" s="173" t="str">
        <f>IFERROR(vlookup(A110,TSM!A:Q,8,FALSE),"")</f>
        <v/>
      </c>
      <c r="F110" s="93">
        <f t="shared" si="2"/>
        <v>0</v>
      </c>
      <c r="I110" s="173" t="str">
        <f>IFERROR(vlookup(A109,TSM!A:Q,2,FALSE),"")</f>
        <v/>
      </c>
      <c r="M110" s="93">
        <f t="shared" si="4"/>
        <v>0</v>
      </c>
    </row>
    <row r="111">
      <c r="B111" s="173" t="str">
        <f>IFERROR(vlookup(A111,TSM!A:Q,8,FALSE),"")</f>
        <v/>
      </c>
      <c r="F111" s="93">
        <f t="shared" si="2"/>
        <v>0</v>
      </c>
      <c r="I111" s="173" t="str">
        <f>IFERROR(vlookup(A110,TSM!A:Q,2,FALSE),"")</f>
        <v/>
      </c>
      <c r="M111" s="93">
        <f t="shared" si="4"/>
        <v>0</v>
      </c>
    </row>
    <row r="112">
      <c r="B112" s="173" t="str">
        <f>IFERROR(vlookup(A112,TSM!A:Q,8,FALSE),"")</f>
        <v/>
      </c>
      <c r="F112" s="93">
        <f t="shared" si="2"/>
        <v>0</v>
      </c>
      <c r="I112" s="173" t="str">
        <f>IFERROR(vlookup(A111,TSM!A:Q,2,FALSE),"")</f>
        <v/>
      </c>
      <c r="M112" s="93">
        <f t="shared" si="4"/>
        <v>0</v>
      </c>
    </row>
    <row r="113">
      <c r="B113" s="173" t="str">
        <f>IFERROR(vlookup(A113,TSM!A:Q,8,FALSE),"")</f>
        <v/>
      </c>
      <c r="F113" s="93">
        <f t="shared" si="2"/>
        <v>0</v>
      </c>
      <c r="I113" s="173" t="str">
        <f>IFERROR(vlookup(A112,TSM!A:Q,2,FALSE),"")</f>
        <v/>
      </c>
      <c r="M113" s="93">
        <f t="shared" si="4"/>
        <v>0</v>
      </c>
    </row>
    <row r="114">
      <c r="B114" s="173" t="str">
        <f>IFERROR(vlookup(A114,TSM!A:Q,8,FALSE),"")</f>
        <v/>
      </c>
      <c r="F114" s="93">
        <f t="shared" si="2"/>
        <v>0</v>
      </c>
      <c r="I114" s="173" t="str">
        <f>IFERROR(vlookup(A113,TSM!A:Q,2,FALSE),"")</f>
        <v/>
      </c>
      <c r="M114" s="93">
        <f t="shared" si="4"/>
        <v>0</v>
      </c>
    </row>
    <row r="115">
      <c r="B115" s="173" t="str">
        <f>IFERROR(vlookup(A115,TSM!A:Q,8,FALSE),"")</f>
        <v/>
      </c>
      <c r="F115" s="93">
        <f t="shared" si="2"/>
        <v>0</v>
      </c>
      <c r="I115" s="173" t="str">
        <f>IFERROR(vlookup(A114,TSM!A:Q,2,FALSE),"")</f>
        <v/>
      </c>
      <c r="M115" s="93">
        <f t="shared" si="4"/>
        <v>0</v>
      </c>
    </row>
    <row r="116">
      <c r="B116" s="173" t="str">
        <f>IFERROR(vlookup(A116,TSM!A:Q,8,FALSE),"")</f>
        <v/>
      </c>
      <c r="F116" s="93">
        <f t="shared" si="2"/>
        <v>0</v>
      </c>
      <c r="I116" s="173" t="str">
        <f>IFERROR(vlookup(A115,TSM!A:Q,2,FALSE),"")</f>
        <v/>
      </c>
      <c r="M116" s="93">
        <f t="shared" si="4"/>
        <v>0</v>
      </c>
    </row>
    <row r="117">
      <c r="B117" s="173" t="str">
        <f>IFERROR(vlookup(A117,TSM!A:Q,8,FALSE),"")</f>
        <v/>
      </c>
      <c r="F117" s="93">
        <f t="shared" si="2"/>
        <v>0</v>
      </c>
      <c r="I117" s="173" t="str">
        <f>IFERROR(vlookup(A116,TSM!A:Q,2,FALSE),"")</f>
        <v/>
      </c>
      <c r="M117" s="93">
        <f t="shared" si="4"/>
        <v>0</v>
      </c>
    </row>
    <row r="118">
      <c r="B118" s="173" t="str">
        <f>IFERROR(vlookup(A118,TSM!A:Q,8,FALSE),"")</f>
        <v/>
      </c>
      <c r="F118" s="93">
        <f t="shared" si="2"/>
        <v>0</v>
      </c>
      <c r="I118" s="173" t="str">
        <f>IFERROR(vlookup(A117,TSM!A:Q,2,FALSE),"")</f>
        <v/>
      </c>
      <c r="M118" s="93">
        <f t="shared" si="4"/>
        <v>0</v>
      </c>
    </row>
    <row r="119">
      <c r="B119" s="173" t="str">
        <f>IFERROR(vlookup(A119,TSM!A:Q,8,FALSE),"")</f>
        <v/>
      </c>
      <c r="F119" s="93">
        <f t="shared" si="2"/>
        <v>0</v>
      </c>
      <c r="I119" s="173" t="str">
        <f>IFERROR(vlookup(A118,TSM!A:Q,2,FALSE),"")</f>
        <v/>
      </c>
      <c r="M119" s="93">
        <f t="shared" si="4"/>
        <v>0</v>
      </c>
    </row>
    <row r="120">
      <c r="B120" s="173" t="str">
        <f>IFERROR(vlookup(A120,TSM!A:Q,8,FALSE),"")</f>
        <v/>
      </c>
      <c r="F120" s="93">
        <f t="shared" si="2"/>
        <v>0</v>
      </c>
      <c r="I120" s="173" t="str">
        <f>IFERROR(vlookup(A119,TSM!A:Q,2,FALSE),"")</f>
        <v/>
      </c>
      <c r="M120" s="93">
        <f t="shared" si="4"/>
        <v>0</v>
      </c>
    </row>
    <row r="121">
      <c r="B121" s="173" t="str">
        <f>IFERROR(vlookup(A121,TSM!A:Q,8,FALSE),"")</f>
        <v/>
      </c>
      <c r="F121" s="93">
        <f t="shared" si="2"/>
        <v>0</v>
      </c>
      <c r="I121" s="173" t="str">
        <f>IFERROR(vlookup(A120,TSM!A:Q,2,FALSE),"")</f>
        <v/>
      </c>
      <c r="M121" s="93">
        <f t="shared" si="4"/>
        <v>0</v>
      </c>
    </row>
    <row r="122">
      <c r="B122" s="173" t="str">
        <f>IFERROR(vlookup(A122,TSM!A:Q,8,FALSE),"")</f>
        <v/>
      </c>
      <c r="F122" s="93">
        <f t="shared" si="2"/>
        <v>0</v>
      </c>
      <c r="I122" s="173" t="str">
        <f>IFERROR(vlookup(A121,TSM!A:Q,2,FALSE),"")</f>
        <v/>
      </c>
      <c r="M122" s="93">
        <f t="shared" si="4"/>
        <v>0</v>
      </c>
    </row>
    <row r="123">
      <c r="B123" s="173" t="str">
        <f>IFERROR(vlookup(A123,TSM!A:Q,8,FALSE),"")</f>
        <v/>
      </c>
      <c r="F123" s="93">
        <f t="shared" si="2"/>
        <v>0</v>
      </c>
      <c r="I123" s="173" t="str">
        <f>IFERROR(vlookup(A122,TSM!A:Q,2,FALSE),"")</f>
        <v/>
      </c>
      <c r="M123" s="93">
        <f t="shared" si="4"/>
        <v>0</v>
      </c>
    </row>
    <row r="124">
      <c r="B124" s="173" t="str">
        <f>IFERROR(vlookup(A124,TSM!A:Q,8,FALSE),"")</f>
        <v/>
      </c>
      <c r="F124" s="93">
        <f t="shared" si="2"/>
        <v>0</v>
      </c>
      <c r="I124" s="173" t="str">
        <f>IFERROR(vlookup(A123,TSM!A:Q,2,FALSE),"")</f>
        <v/>
      </c>
      <c r="M124" s="93">
        <f t="shared" si="4"/>
        <v>0</v>
      </c>
    </row>
    <row r="125">
      <c r="B125" s="173" t="str">
        <f>IFERROR(vlookup(A125,TSM!A:Q,8,FALSE),"")</f>
        <v/>
      </c>
      <c r="F125" s="93">
        <f t="shared" si="2"/>
        <v>0</v>
      </c>
      <c r="I125" s="173" t="str">
        <f>IFERROR(vlookup(A124,TSM!A:Q,2,FALSE),"")</f>
        <v/>
      </c>
      <c r="M125" s="93">
        <f t="shared" si="4"/>
        <v>0</v>
      </c>
    </row>
    <row r="126">
      <c r="B126" s="173" t="str">
        <f>IFERROR(vlookup(A126,TSM!A:Q,8,FALSE),"")</f>
        <v/>
      </c>
      <c r="F126" s="93">
        <f t="shared" si="2"/>
        <v>0</v>
      </c>
      <c r="I126" s="173" t="str">
        <f>IFERROR(vlookup(A125,TSM!A:Q,2,FALSE),"")</f>
        <v/>
      </c>
      <c r="M126" s="93">
        <f t="shared" si="4"/>
        <v>0</v>
      </c>
    </row>
    <row r="127">
      <c r="B127" s="173" t="str">
        <f>IFERROR(vlookup(A127,TSM!A:Q,8,FALSE),"")</f>
        <v/>
      </c>
      <c r="F127" s="93">
        <f t="shared" si="2"/>
        <v>0</v>
      </c>
      <c r="I127" s="173" t="str">
        <f>IFERROR(vlookup(A126,TSM!A:Q,2,FALSE),"")</f>
        <v/>
      </c>
      <c r="M127" s="93">
        <f t="shared" si="4"/>
        <v>0</v>
      </c>
    </row>
    <row r="128">
      <c r="B128" s="173" t="str">
        <f>IFERROR(vlookup(A128,TSM!A:Q,8,FALSE),"")</f>
        <v/>
      </c>
      <c r="F128" s="93">
        <f t="shared" si="2"/>
        <v>0</v>
      </c>
      <c r="I128" s="173" t="str">
        <f>IFERROR(vlookup(A127,TSM!A:Q,2,FALSE),"")</f>
        <v/>
      </c>
      <c r="M128" s="93">
        <f t="shared" si="4"/>
        <v>0</v>
      </c>
    </row>
    <row r="129">
      <c r="B129" s="173" t="str">
        <f>IFERROR(vlookup(A129,TSM!A:Q,8,FALSE),"")</f>
        <v/>
      </c>
      <c r="F129" s="93">
        <f t="shared" si="2"/>
        <v>0</v>
      </c>
      <c r="I129" s="173" t="str">
        <f>IFERROR(vlookup(A128,TSM!A:Q,2,FALSE),"")</f>
        <v/>
      </c>
      <c r="M129" s="93">
        <f t="shared" si="4"/>
        <v>0</v>
      </c>
    </row>
    <row r="130">
      <c r="B130" s="173" t="str">
        <f>IFERROR(vlookup(A130,TSM!A:Q,8,FALSE),"")</f>
        <v/>
      </c>
      <c r="F130" s="93">
        <f t="shared" si="2"/>
        <v>0</v>
      </c>
      <c r="I130" s="173" t="str">
        <f>IFERROR(vlookup(A129,TSM!A:Q,2,FALSE),"")</f>
        <v/>
      </c>
      <c r="M130" s="93">
        <f t="shared" si="4"/>
        <v>0</v>
      </c>
    </row>
    <row r="131">
      <c r="B131" s="173" t="str">
        <f>IFERROR(vlookup(A131,TSM!A:Q,8,FALSE),"")</f>
        <v/>
      </c>
      <c r="F131" s="93">
        <f t="shared" si="2"/>
        <v>0</v>
      </c>
      <c r="I131" s="173" t="str">
        <f>IFERROR(vlookup(A130,TSM!A:Q,2,FALSE),"")</f>
        <v/>
      </c>
      <c r="M131" s="93">
        <f t="shared" si="4"/>
        <v>0</v>
      </c>
    </row>
    <row r="132">
      <c r="B132" s="173" t="str">
        <f>IFERROR(vlookup(A132,TSM!A:Q,8,FALSE),"")</f>
        <v/>
      </c>
      <c r="F132" s="93">
        <f t="shared" si="2"/>
        <v>0</v>
      </c>
      <c r="I132" s="173" t="str">
        <f>IFERROR(vlookup(A131,TSM!A:Q,2,FALSE),"")</f>
        <v/>
      </c>
      <c r="M132" s="93">
        <f t="shared" si="4"/>
        <v>0</v>
      </c>
    </row>
    <row r="133">
      <c r="B133" s="173" t="str">
        <f>IFERROR(vlookup(A133,TSM!A:Q,8,FALSE),"")</f>
        <v/>
      </c>
      <c r="F133" s="93">
        <f t="shared" si="2"/>
        <v>0</v>
      </c>
      <c r="I133" s="173" t="str">
        <f>IFERROR(vlookup(A132,TSM!A:Q,2,FALSE),"")</f>
        <v/>
      </c>
      <c r="M133" s="93">
        <f t="shared" si="4"/>
        <v>0</v>
      </c>
    </row>
    <row r="134">
      <c r="B134" s="173" t="str">
        <f>IFERROR(vlookup(A134,TSM!A:Q,8,FALSE),"")</f>
        <v/>
      </c>
      <c r="F134" s="93">
        <f t="shared" si="2"/>
        <v>0</v>
      </c>
      <c r="I134" s="173" t="str">
        <f>IFERROR(vlookup(A133,TSM!A:Q,2,FALSE),"")</f>
        <v/>
      </c>
      <c r="M134" s="93">
        <f t="shared" si="4"/>
        <v>0</v>
      </c>
    </row>
    <row r="135">
      <c r="B135" s="173" t="str">
        <f>IFERROR(vlookup(A135,TSM!A:Q,8,FALSE),"")</f>
        <v/>
      </c>
      <c r="F135" s="93">
        <f t="shared" si="2"/>
        <v>0</v>
      </c>
      <c r="I135" s="173" t="str">
        <f>IFERROR(vlookup(A134,TSM!A:Q,2,FALSE),"")</f>
        <v/>
      </c>
      <c r="M135" s="93">
        <f t="shared" si="4"/>
        <v>0</v>
      </c>
    </row>
    <row r="136">
      <c r="B136" s="173" t="str">
        <f>IFERROR(vlookup(A136,TSM!A:Q,8,FALSE),"")</f>
        <v/>
      </c>
      <c r="F136" s="93">
        <f t="shared" si="2"/>
        <v>0</v>
      </c>
      <c r="I136" s="173" t="str">
        <f>IFERROR(vlookup(A135,TSM!A:Q,2,FALSE),"")</f>
        <v/>
      </c>
      <c r="M136" s="93">
        <f t="shared" si="4"/>
        <v>0</v>
      </c>
    </row>
    <row r="137">
      <c r="B137" s="173" t="str">
        <f>IFERROR(vlookup(A137,TSM!A:Q,8,FALSE),"")</f>
        <v/>
      </c>
      <c r="F137" s="93">
        <f t="shared" si="2"/>
        <v>0</v>
      </c>
      <c r="I137" s="173" t="str">
        <f>IFERROR(vlookup(A136,TSM!A:Q,2,FALSE),"")</f>
        <v/>
      </c>
      <c r="M137" s="93">
        <f t="shared" si="4"/>
        <v>0</v>
      </c>
    </row>
    <row r="138">
      <c r="B138" s="173" t="str">
        <f>IFERROR(vlookup(A138,TSM!A:Q,8,FALSE),"")</f>
        <v/>
      </c>
      <c r="F138" s="93">
        <f t="shared" si="2"/>
        <v>0</v>
      </c>
      <c r="I138" s="173" t="str">
        <f>IFERROR(vlookup(A137,TSM!A:Q,2,FALSE),"")</f>
        <v/>
      </c>
      <c r="M138" s="93">
        <f t="shared" si="4"/>
        <v>0</v>
      </c>
    </row>
    <row r="139">
      <c r="B139" s="173" t="str">
        <f>IFERROR(vlookup(A139,TSM!A:Q,8,FALSE),"")</f>
        <v/>
      </c>
      <c r="F139" s="93">
        <f t="shared" si="2"/>
        <v>0</v>
      </c>
      <c r="I139" s="173" t="str">
        <f>IFERROR(vlookup(A138,TSM!A:Q,2,FALSE),"")</f>
        <v/>
      </c>
      <c r="M139" s="93">
        <f t="shared" si="4"/>
        <v>0</v>
      </c>
    </row>
    <row r="140">
      <c r="B140" s="173" t="str">
        <f>IFERROR(vlookup(A140,TSM!A:Q,8,FALSE),"")</f>
        <v/>
      </c>
      <c r="F140" s="93">
        <f t="shared" si="2"/>
        <v>0</v>
      </c>
      <c r="I140" s="173" t="str">
        <f>IFERROR(vlookup(A139,TSM!A:Q,2,FALSE),"")</f>
        <v/>
      </c>
      <c r="M140" s="93">
        <f t="shared" si="4"/>
        <v>0</v>
      </c>
    </row>
    <row r="141">
      <c r="B141" s="173" t="str">
        <f>IFERROR(vlookup(A141,TSM!A:Q,8,FALSE),"")</f>
        <v/>
      </c>
      <c r="F141" s="93">
        <f t="shared" si="2"/>
        <v>0</v>
      </c>
      <c r="I141" s="173" t="str">
        <f>IFERROR(vlookup(A140,TSM!A:Q,2,FALSE),"")</f>
        <v/>
      </c>
      <c r="M141" s="93">
        <f t="shared" si="4"/>
        <v>0</v>
      </c>
    </row>
    <row r="142">
      <c r="B142" s="173" t="str">
        <f>IFERROR(vlookup(A142,TSM!A:Q,8,FALSE),"")</f>
        <v/>
      </c>
      <c r="F142" s="93">
        <f t="shared" si="2"/>
        <v>0</v>
      </c>
      <c r="I142" s="173" t="str">
        <f>IFERROR(vlookup(A141,TSM!A:Q,2,FALSE),"")</f>
        <v/>
      </c>
      <c r="M142" s="93">
        <f t="shared" si="4"/>
        <v>0</v>
      </c>
    </row>
    <row r="143">
      <c r="B143" s="173" t="str">
        <f>IFERROR(vlookup(A143,TSM!A:Q,8,FALSE),"")</f>
        <v/>
      </c>
      <c r="F143" s="93">
        <f t="shared" si="2"/>
        <v>0</v>
      </c>
      <c r="I143" s="173" t="str">
        <f>IFERROR(vlookup(A142,TSM!A:Q,2,FALSE),"")</f>
        <v/>
      </c>
      <c r="M143" s="93">
        <f t="shared" si="4"/>
        <v>0</v>
      </c>
    </row>
    <row r="144">
      <c r="B144" s="173" t="str">
        <f>IFERROR(vlookup(A144,TSM!A:Q,8,FALSE),"")</f>
        <v/>
      </c>
      <c r="F144" s="93">
        <f t="shared" si="2"/>
        <v>0</v>
      </c>
      <c r="I144" s="173" t="str">
        <f>IFERROR(vlookup(A143,TSM!A:Q,2,FALSE),"")</f>
        <v/>
      </c>
      <c r="M144" s="93">
        <f t="shared" si="4"/>
        <v>0</v>
      </c>
    </row>
    <row r="145">
      <c r="B145" s="173" t="str">
        <f>IFERROR(vlookup(A145,TSM!A:Q,8,FALSE),"")</f>
        <v/>
      </c>
      <c r="F145" s="93">
        <f t="shared" si="2"/>
        <v>0</v>
      </c>
      <c r="I145" s="173" t="str">
        <f>IFERROR(vlookup(A144,TSM!A:Q,2,FALSE),"")</f>
        <v/>
      </c>
      <c r="M145" s="93">
        <f t="shared" si="4"/>
        <v>0</v>
      </c>
    </row>
    <row r="146">
      <c r="B146" s="173" t="str">
        <f>IFERROR(vlookup(A146,TSM!A:Q,8,FALSE),"")</f>
        <v/>
      </c>
      <c r="F146" s="93">
        <f t="shared" si="2"/>
        <v>0</v>
      </c>
      <c r="I146" s="173" t="str">
        <f>IFERROR(vlookup(A145,TSM!A:Q,2,FALSE),"")</f>
        <v/>
      </c>
      <c r="M146" s="93">
        <f t="shared" si="4"/>
        <v>0</v>
      </c>
    </row>
    <row r="147">
      <c r="B147" s="173" t="str">
        <f>IFERROR(vlookup(A147,TSM!A:Q,8,FALSE),"")</f>
        <v/>
      </c>
      <c r="F147" s="93">
        <f t="shared" si="2"/>
        <v>0</v>
      </c>
      <c r="I147" s="173" t="str">
        <f>IFERROR(vlookup(A146,TSM!A:Q,2,FALSE),"")</f>
        <v/>
      </c>
      <c r="M147" s="93">
        <f t="shared" si="4"/>
        <v>0</v>
      </c>
    </row>
    <row r="148">
      <c r="B148" s="173" t="str">
        <f>IFERROR(vlookup(A148,TSM!A:Q,8,FALSE),"")</f>
        <v/>
      </c>
      <c r="F148" s="93">
        <f t="shared" si="2"/>
        <v>0</v>
      </c>
      <c r="I148" s="173" t="str">
        <f>IFERROR(vlookup(A147,TSM!A:Q,2,FALSE),"")</f>
        <v/>
      </c>
      <c r="M148" s="93">
        <f t="shared" si="4"/>
        <v>0</v>
      </c>
    </row>
    <row r="149">
      <c r="B149" s="173" t="str">
        <f>IFERROR(vlookup(A149,TSM!A:Q,8,FALSE),"")</f>
        <v/>
      </c>
      <c r="F149" s="93">
        <f t="shared" si="2"/>
        <v>0</v>
      </c>
      <c r="I149" s="173" t="str">
        <f>IFERROR(vlookup(A148,TSM!A:Q,2,FALSE),"")</f>
        <v/>
      </c>
      <c r="M149" s="93">
        <f t="shared" si="4"/>
        <v>0</v>
      </c>
    </row>
    <row r="150">
      <c r="B150" s="173" t="str">
        <f>IFERROR(vlookup(A150,TSM!A:Q,8,FALSE),"")</f>
        <v/>
      </c>
      <c r="F150" s="93">
        <f t="shared" si="2"/>
        <v>0</v>
      </c>
      <c r="I150" s="173" t="str">
        <f>IFERROR(vlookup(A149,TSM!A:Q,2,FALSE),"")</f>
        <v/>
      </c>
      <c r="M150" s="93">
        <f t="shared" si="4"/>
        <v>0</v>
      </c>
    </row>
    <row r="151">
      <c r="B151" s="173" t="str">
        <f>IFERROR(vlookup(A151,TSM!A:Q,8,FALSE),"")</f>
        <v/>
      </c>
      <c r="F151" s="93">
        <f t="shared" si="2"/>
        <v>0</v>
      </c>
      <c r="I151" s="173" t="str">
        <f>IFERROR(vlookup(A150,TSM!A:Q,2,FALSE),"")</f>
        <v/>
      </c>
      <c r="M151" s="93">
        <f t="shared" si="4"/>
        <v>0</v>
      </c>
    </row>
    <row r="152">
      <c r="B152" s="173" t="str">
        <f>IFERROR(vlookup(A152,TSM!A:Q,8,FALSE),"")</f>
        <v/>
      </c>
      <c r="F152" s="93">
        <f t="shared" si="2"/>
        <v>0</v>
      </c>
      <c r="I152" s="173" t="str">
        <f>IFERROR(vlookup(A151,TSM!A:Q,2,FALSE),"")</f>
        <v/>
      </c>
      <c r="M152" s="93">
        <f t="shared" si="4"/>
        <v>0</v>
      </c>
    </row>
    <row r="153">
      <c r="B153" s="173" t="str">
        <f>IFERROR(vlookup(A153,TSM!A:Q,8,FALSE),"")</f>
        <v/>
      </c>
      <c r="F153" s="93">
        <f t="shared" si="2"/>
        <v>0</v>
      </c>
      <c r="I153" s="173" t="str">
        <f>IFERROR(vlookup(A152,TSM!A:Q,2,FALSE),"")</f>
        <v/>
      </c>
      <c r="M153" s="93">
        <f t="shared" si="4"/>
        <v>0</v>
      </c>
    </row>
    <row r="154">
      <c r="B154" s="173" t="str">
        <f>IFERROR(vlookup(A154,TSM!A:Q,8,FALSE),"")</f>
        <v/>
      </c>
      <c r="F154" s="93">
        <f t="shared" si="2"/>
        <v>0</v>
      </c>
      <c r="I154" s="173" t="str">
        <f>IFERROR(vlookup(A153,TSM!A:Q,2,FALSE),"")</f>
        <v/>
      </c>
      <c r="M154" s="93">
        <f t="shared" si="4"/>
        <v>0</v>
      </c>
    </row>
    <row r="155">
      <c r="B155" s="173" t="str">
        <f>IFERROR(vlookup(A155,TSM!A:Q,8,FALSE),"")</f>
        <v/>
      </c>
      <c r="F155" s="93">
        <f t="shared" si="2"/>
        <v>0</v>
      </c>
      <c r="I155" s="173" t="str">
        <f>IFERROR(vlookup(A154,TSM!A:Q,2,FALSE),"")</f>
        <v/>
      </c>
      <c r="M155" s="93">
        <f t="shared" si="4"/>
        <v>0</v>
      </c>
    </row>
    <row r="156">
      <c r="B156" s="173" t="str">
        <f>IFERROR(vlookup(A156,TSM!A:Q,8,FALSE),"")</f>
        <v/>
      </c>
      <c r="F156" s="93">
        <f t="shared" si="2"/>
        <v>0</v>
      </c>
      <c r="I156" s="173" t="str">
        <f>IFERROR(vlookup(A155,TSM!A:Q,2,FALSE),"")</f>
        <v/>
      </c>
      <c r="M156" s="93">
        <f t="shared" si="4"/>
        <v>0</v>
      </c>
    </row>
    <row r="157">
      <c r="B157" s="173" t="str">
        <f>IFERROR(vlookup(A157,TSM!A:Q,8,FALSE),"")</f>
        <v/>
      </c>
      <c r="F157" s="93">
        <f t="shared" si="2"/>
        <v>0</v>
      </c>
      <c r="I157" s="173" t="str">
        <f>IFERROR(vlookup(A156,TSM!A:Q,2,FALSE),"")</f>
        <v/>
      </c>
      <c r="M157" s="93">
        <f t="shared" si="4"/>
        <v>0</v>
      </c>
    </row>
    <row r="158">
      <c r="B158" s="173" t="str">
        <f>IFERROR(vlookup(A158,TSM!A:Q,8,FALSE),"")</f>
        <v/>
      </c>
      <c r="F158" s="93">
        <f t="shared" si="2"/>
        <v>0</v>
      </c>
      <c r="I158" s="173" t="str">
        <f>IFERROR(vlookup(A157,TSM!A:Q,2,FALSE),"")</f>
        <v/>
      </c>
      <c r="M158" s="93">
        <f t="shared" si="4"/>
        <v>0</v>
      </c>
    </row>
    <row r="159">
      <c r="B159" s="173" t="str">
        <f>IFERROR(vlookup(A159,TSM!A:Q,8,FALSE),"")</f>
        <v/>
      </c>
      <c r="F159" s="93">
        <f t="shared" si="2"/>
        <v>0</v>
      </c>
      <c r="I159" s="173" t="str">
        <f>IFERROR(vlookup(A158,TSM!A:Q,2,FALSE),"")</f>
        <v/>
      </c>
      <c r="M159" s="93">
        <f t="shared" si="4"/>
        <v>0</v>
      </c>
    </row>
    <row r="160">
      <c r="B160" s="173" t="str">
        <f>IFERROR(vlookup(A160,TSM!A:Q,8,FALSE),"")</f>
        <v/>
      </c>
      <c r="F160" s="93">
        <f t="shared" si="2"/>
        <v>0</v>
      </c>
      <c r="I160" s="173" t="str">
        <f>IFERROR(vlookup(A159,TSM!A:Q,2,FALSE),"")</f>
        <v/>
      </c>
      <c r="M160" s="93">
        <f t="shared" si="4"/>
        <v>0</v>
      </c>
    </row>
    <row r="161">
      <c r="B161" s="173" t="str">
        <f>IFERROR(vlookup(A161,TSM!A:Q,8,FALSE),"")</f>
        <v/>
      </c>
      <c r="F161" s="93">
        <f t="shared" si="2"/>
        <v>0</v>
      </c>
      <c r="I161" s="173" t="str">
        <f>IFERROR(vlookup(A160,TSM!A:Q,2,FALSE),"")</f>
        <v/>
      </c>
      <c r="M161" s="93">
        <f t="shared" si="4"/>
        <v>0</v>
      </c>
    </row>
    <row r="162">
      <c r="B162" s="173" t="str">
        <f>IFERROR(vlookup(A162,TSM!A:Q,8,FALSE),"")</f>
        <v/>
      </c>
      <c r="F162" s="93">
        <f t="shared" si="2"/>
        <v>0</v>
      </c>
      <c r="I162" s="173" t="str">
        <f>IFERROR(vlookup(A161,TSM!A:Q,2,FALSE),"")</f>
        <v/>
      </c>
      <c r="M162" s="93">
        <f t="shared" si="4"/>
        <v>0</v>
      </c>
    </row>
    <row r="163">
      <c r="B163" s="173" t="str">
        <f>IFERROR(vlookup(A163,TSM!A:Q,8,FALSE),"")</f>
        <v/>
      </c>
      <c r="F163" s="93">
        <f t="shared" si="2"/>
        <v>0</v>
      </c>
      <c r="I163" s="173" t="str">
        <f>IFERROR(vlookup(A162,TSM!A:Q,2,FALSE),"")</f>
        <v/>
      </c>
      <c r="M163" s="93">
        <f t="shared" si="4"/>
        <v>0</v>
      </c>
    </row>
    <row r="164">
      <c r="B164" s="173" t="str">
        <f>IFERROR(vlookup(A164,TSM!A:Q,8,FALSE),"")</f>
        <v/>
      </c>
      <c r="F164" s="93">
        <f t="shared" si="2"/>
        <v>0</v>
      </c>
      <c r="I164" s="173" t="str">
        <f>IFERROR(vlookup(A163,TSM!A:Q,2,FALSE),"")</f>
        <v/>
      </c>
      <c r="M164" s="93">
        <f t="shared" si="4"/>
        <v>0</v>
      </c>
    </row>
    <row r="165">
      <c r="B165" s="173" t="str">
        <f>IFERROR(vlookup(A165,TSM!A:Q,8,FALSE),"")</f>
        <v/>
      </c>
      <c r="F165" s="93">
        <f t="shared" si="2"/>
        <v>0</v>
      </c>
      <c r="I165" s="173" t="str">
        <f>IFERROR(vlookup(A164,TSM!A:Q,2,FALSE),"")</f>
        <v/>
      </c>
      <c r="M165" s="93">
        <f t="shared" si="4"/>
        <v>0</v>
      </c>
    </row>
    <row r="166">
      <c r="B166" s="173" t="str">
        <f>IFERROR(vlookup(A166,TSM!A:Q,8,FALSE),"")</f>
        <v/>
      </c>
      <c r="F166" s="93">
        <f t="shared" si="2"/>
        <v>0</v>
      </c>
      <c r="I166" s="173" t="str">
        <f>IFERROR(vlookup(A165,TSM!A:Q,2,FALSE),"")</f>
        <v/>
      </c>
      <c r="M166" s="93">
        <f t="shared" si="4"/>
        <v>0</v>
      </c>
    </row>
    <row r="167">
      <c r="B167" s="173" t="str">
        <f>IFERROR(vlookup(A167,TSM!A:Q,8,FALSE),"")</f>
        <v/>
      </c>
      <c r="F167" s="93">
        <f t="shared" si="2"/>
        <v>0</v>
      </c>
      <c r="I167" s="173" t="str">
        <f>IFERROR(vlookup(A166,TSM!A:Q,2,FALSE),"")</f>
        <v/>
      </c>
      <c r="M167" s="93">
        <f t="shared" si="4"/>
        <v>0</v>
      </c>
    </row>
    <row r="168">
      <c r="B168" s="173" t="str">
        <f>IFERROR(vlookup(A168,TSM!A:Q,8,FALSE),"")</f>
        <v/>
      </c>
      <c r="F168" s="93">
        <f t="shared" si="2"/>
        <v>0</v>
      </c>
      <c r="I168" s="173" t="str">
        <f>IFERROR(vlookup(A167,TSM!A:Q,2,FALSE),"")</f>
        <v/>
      </c>
      <c r="M168" s="93">
        <f t="shared" si="4"/>
        <v>0</v>
      </c>
    </row>
    <row r="169">
      <c r="B169" s="173" t="str">
        <f>IFERROR(vlookup(A169,TSM!A:Q,8,FALSE),"")</f>
        <v/>
      </c>
      <c r="F169" s="93">
        <f t="shared" si="2"/>
        <v>0</v>
      </c>
      <c r="I169" s="173" t="str">
        <f>IFERROR(vlookup(A168,TSM!A:Q,2,FALSE),"")</f>
        <v/>
      </c>
      <c r="M169" s="93">
        <f t="shared" si="4"/>
        <v>0</v>
      </c>
    </row>
    <row r="170">
      <c r="B170" s="173" t="str">
        <f>IFERROR(vlookup(A170,TSM!A:Q,8,FALSE),"")</f>
        <v/>
      </c>
      <c r="F170" s="93">
        <f t="shared" si="2"/>
        <v>0</v>
      </c>
      <c r="I170" s="173" t="str">
        <f>IFERROR(vlookup(A169,TSM!A:Q,2,FALSE),"")</f>
        <v/>
      </c>
      <c r="M170" s="93">
        <f t="shared" si="4"/>
        <v>0</v>
      </c>
    </row>
    <row r="171">
      <c r="B171" s="173" t="str">
        <f>IFERROR(vlookup(A171,TSM!A:Q,8,FALSE),"")</f>
        <v/>
      </c>
      <c r="F171" s="93">
        <f t="shared" si="2"/>
        <v>0</v>
      </c>
      <c r="I171" s="173" t="str">
        <f>IFERROR(vlookup(A170,TSM!A:Q,2,FALSE),"")</f>
        <v/>
      </c>
      <c r="M171" s="93">
        <f t="shared" si="4"/>
        <v>0</v>
      </c>
    </row>
    <row r="172">
      <c r="B172" s="173" t="str">
        <f>IFERROR(vlookup(A172,TSM!A:Q,8,FALSE),"")</f>
        <v/>
      </c>
      <c r="F172" s="93">
        <f t="shared" si="2"/>
        <v>0</v>
      </c>
      <c r="I172" s="173" t="str">
        <f>IFERROR(vlookup(A171,TSM!A:Q,2,FALSE),"")</f>
        <v/>
      </c>
      <c r="M172" s="93">
        <f t="shared" si="4"/>
        <v>0</v>
      </c>
    </row>
    <row r="173">
      <c r="B173" s="173" t="str">
        <f>IFERROR(vlookup(A173,TSM!A:Q,8,FALSE),"")</f>
        <v/>
      </c>
      <c r="F173" s="93">
        <f t="shared" si="2"/>
        <v>0</v>
      </c>
      <c r="I173" s="173" t="str">
        <f>IFERROR(vlookup(A172,TSM!A:Q,2,FALSE),"")</f>
        <v/>
      </c>
      <c r="M173" s="93">
        <f t="shared" si="4"/>
        <v>0</v>
      </c>
    </row>
    <row r="174">
      <c r="B174" s="173" t="str">
        <f>IFERROR(vlookup(A174,TSM!A:Q,8,FALSE),"")</f>
        <v/>
      </c>
      <c r="F174" s="93">
        <f t="shared" si="2"/>
        <v>0</v>
      </c>
      <c r="I174" s="173" t="str">
        <f>IFERROR(vlookup(A173,TSM!A:Q,2,FALSE),"")</f>
        <v/>
      </c>
      <c r="M174" s="93">
        <f t="shared" si="4"/>
        <v>0</v>
      </c>
    </row>
    <row r="175">
      <c r="B175" s="173" t="str">
        <f>IFERROR(vlookup(A175,TSM!A:Q,8,FALSE),"")</f>
        <v/>
      </c>
      <c r="F175" s="93">
        <f t="shared" si="2"/>
        <v>0</v>
      </c>
      <c r="I175" s="173" t="str">
        <f>IFERROR(vlookup(A174,TSM!A:Q,2,FALSE),"")</f>
        <v/>
      </c>
      <c r="M175" s="93">
        <f t="shared" si="4"/>
        <v>0</v>
      </c>
    </row>
    <row r="176">
      <c r="B176" s="173" t="str">
        <f>IFERROR(vlookup(A176,TSM!A:Q,8,FALSE),"")</f>
        <v/>
      </c>
      <c r="F176" s="93">
        <f t="shared" si="2"/>
        <v>0</v>
      </c>
      <c r="I176" s="173" t="str">
        <f>IFERROR(vlookup(A175,TSM!A:Q,2,FALSE),"")</f>
        <v/>
      </c>
      <c r="M176" s="93">
        <f t="shared" si="4"/>
        <v>0</v>
      </c>
    </row>
    <row r="177">
      <c r="B177" s="173" t="str">
        <f>IFERROR(vlookup(A177,TSM!A:Q,8,FALSE),"")</f>
        <v/>
      </c>
      <c r="F177" s="93">
        <f t="shared" si="2"/>
        <v>0</v>
      </c>
      <c r="I177" s="173" t="str">
        <f>IFERROR(vlookup(A176,TSM!A:Q,2,FALSE),"")</f>
        <v/>
      </c>
      <c r="M177" s="93">
        <f t="shared" si="4"/>
        <v>0</v>
      </c>
    </row>
    <row r="178">
      <c r="B178" s="173" t="str">
        <f>IFERROR(vlookup(A178,TSM!A:Q,8,FALSE),"")</f>
        <v/>
      </c>
      <c r="F178" s="93">
        <f t="shared" si="2"/>
        <v>0</v>
      </c>
      <c r="I178" s="173" t="str">
        <f>IFERROR(vlookup(A177,TSM!A:Q,2,FALSE),"")</f>
        <v/>
      </c>
      <c r="M178" s="93">
        <f t="shared" si="4"/>
        <v>0</v>
      </c>
    </row>
    <row r="179">
      <c r="B179" s="173" t="str">
        <f>IFERROR(vlookup(A179,TSM!A:Q,8,FALSE),"")</f>
        <v/>
      </c>
      <c r="F179" s="93">
        <f t="shared" si="2"/>
        <v>0</v>
      </c>
      <c r="I179" s="173" t="str">
        <f>IFERROR(vlookup(A178,TSM!A:Q,2,FALSE),"")</f>
        <v/>
      </c>
      <c r="M179" s="93">
        <f t="shared" si="4"/>
        <v>0</v>
      </c>
    </row>
    <row r="180">
      <c r="B180" s="173" t="str">
        <f>IFERROR(vlookup(A180,TSM!A:Q,8,FALSE),"")</f>
        <v/>
      </c>
      <c r="F180" s="93">
        <f t="shared" si="2"/>
        <v>0</v>
      </c>
      <c r="I180" s="173" t="str">
        <f>IFERROR(vlookup(A179,TSM!A:Q,2,FALSE),"")</f>
        <v/>
      </c>
      <c r="M180" s="93">
        <f t="shared" si="4"/>
        <v>0</v>
      </c>
    </row>
    <row r="181">
      <c r="B181" s="173" t="str">
        <f>IFERROR(vlookup(A181,TSM!A:Q,8,FALSE),"")</f>
        <v/>
      </c>
      <c r="F181" s="93">
        <f t="shared" si="2"/>
        <v>0</v>
      </c>
      <c r="I181" s="173" t="str">
        <f>IFERROR(vlookup(A180,TSM!A:Q,2,FALSE),"")</f>
        <v/>
      </c>
      <c r="M181" s="93">
        <f t="shared" si="4"/>
        <v>0</v>
      </c>
    </row>
    <row r="182">
      <c r="B182" s="173" t="str">
        <f>IFERROR(vlookup(A182,TSM!A:Q,8,FALSE),"")</f>
        <v/>
      </c>
      <c r="F182" s="93">
        <f t="shared" si="2"/>
        <v>0</v>
      </c>
      <c r="I182" s="173" t="str">
        <f>IFERROR(vlookup(A181,TSM!A:Q,2,FALSE),"")</f>
        <v/>
      </c>
      <c r="M182" s="93">
        <f t="shared" si="4"/>
        <v>0</v>
      </c>
    </row>
    <row r="183">
      <c r="B183" s="173" t="str">
        <f>IFERROR(vlookup(A183,TSM!A:Q,8,FALSE),"")</f>
        <v/>
      </c>
      <c r="F183" s="93">
        <f t="shared" si="2"/>
        <v>0</v>
      </c>
      <c r="I183" s="173" t="str">
        <f>IFERROR(vlookup(A182,TSM!A:Q,2,FALSE),"")</f>
        <v/>
      </c>
      <c r="M183" s="93">
        <f t="shared" si="4"/>
        <v>0</v>
      </c>
    </row>
    <row r="184">
      <c r="B184" s="173" t="str">
        <f>IFERROR(vlookup(A184,TSM!A:Q,8,FALSE),"")</f>
        <v/>
      </c>
      <c r="F184" s="93">
        <f t="shared" si="2"/>
        <v>0</v>
      </c>
      <c r="I184" s="173" t="str">
        <f>IFERROR(vlookup(A183,TSM!A:Q,2,FALSE),"")</f>
        <v/>
      </c>
      <c r="M184" s="93">
        <f t="shared" si="4"/>
        <v>0</v>
      </c>
    </row>
    <row r="185">
      <c r="B185" s="173" t="str">
        <f>IFERROR(vlookup(A185,TSM!A:Q,8,FALSE),"")</f>
        <v/>
      </c>
      <c r="F185" s="93">
        <f t="shared" si="2"/>
        <v>0</v>
      </c>
      <c r="I185" s="173" t="str">
        <f>IFERROR(vlookup(A184,TSM!A:Q,2,FALSE),"")</f>
        <v/>
      </c>
      <c r="M185" s="93">
        <f t="shared" si="4"/>
        <v>0</v>
      </c>
    </row>
    <row r="186">
      <c r="B186" s="173" t="str">
        <f>IFERROR(vlookup(A186,TSM!A:Q,8,FALSE),"")</f>
        <v/>
      </c>
      <c r="F186" s="93">
        <f t="shared" si="2"/>
        <v>0</v>
      </c>
      <c r="I186" s="173" t="str">
        <f>IFERROR(vlookup(A185,TSM!A:Q,2,FALSE),"")</f>
        <v/>
      </c>
      <c r="M186" s="93">
        <f t="shared" si="4"/>
        <v>0</v>
      </c>
    </row>
    <row r="187">
      <c r="B187" s="173" t="str">
        <f>IFERROR(vlookup(A187,TSM!A:Q,8,FALSE),"")</f>
        <v/>
      </c>
      <c r="F187" s="93">
        <f t="shared" si="2"/>
        <v>0</v>
      </c>
      <c r="I187" s="173" t="str">
        <f>IFERROR(vlookup(A186,TSM!A:Q,2,FALSE),"")</f>
        <v/>
      </c>
      <c r="M187" s="93">
        <f t="shared" si="4"/>
        <v>0</v>
      </c>
    </row>
    <row r="188">
      <c r="B188" s="173" t="str">
        <f>IFERROR(vlookup(A188,TSM!A:Q,8,FALSE),"")</f>
        <v/>
      </c>
      <c r="F188" s="93">
        <f t="shared" si="2"/>
        <v>0</v>
      </c>
      <c r="I188" s="173" t="str">
        <f>IFERROR(vlookup(A187,TSM!A:Q,2,FALSE),"")</f>
        <v/>
      </c>
      <c r="M188" s="93">
        <f t="shared" si="4"/>
        <v>0</v>
      </c>
    </row>
    <row r="189">
      <c r="B189" s="173" t="str">
        <f>IFERROR(vlookup(A189,TSM!A:Q,8,FALSE),"")</f>
        <v/>
      </c>
      <c r="F189" s="93">
        <f t="shared" si="2"/>
        <v>0</v>
      </c>
      <c r="I189" s="173" t="str">
        <f>IFERROR(vlookup(A188,TSM!A:Q,2,FALSE),"")</f>
        <v/>
      </c>
      <c r="M189" s="93">
        <f t="shared" si="4"/>
        <v>0</v>
      </c>
    </row>
    <row r="190">
      <c r="B190" s="173" t="str">
        <f>IFERROR(vlookup(A190,TSM!A:Q,8,FALSE),"")</f>
        <v/>
      </c>
      <c r="F190" s="93">
        <f t="shared" si="2"/>
        <v>0</v>
      </c>
      <c r="I190" s="173" t="str">
        <f>IFERROR(vlookup(A189,TSM!A:Q,2,FALSE),"")</f>
        <v/>
      </c>
      <c r="M190" s="93">
        <f t="shared" si="4"/>
        <v>0</v>
      </c>
    </row>
    <row r="191">
      <c r="B191" s="173" t="str">
        <f>IFERROR(vlookup(A191,TSM!A:Q,8,FALSE),"")</f>
        <v/>
      </c>
      <c r="F191" s="93">
        <f t="shared" si="2"/>
        <v>0</v>
      </c>
      <c r="I191" s="173" t="str">
        <f>IFERROR(vlookup(A190,TSM!A:Q,2,FALSE),"")</f>
        <v/>
      </c>
      <c r="M191" s="93">
        <f t="shared" si="4"/>
        <v>0</v>
      </c>
    </row>
    <row r="192">
      <c r="B192" s="173" t="str">
        <f>IFERROR(vlookup(A192,TSM!A:Q,8,FALSE),"")</f>
        <v/>
      </c>
      <c r="F192" s="93">
        <f t="shared" si="2"/>
        <v>0</v>
      </c>
      <c r="I192" s="173" t="str">
        <f>IFERROR(vlookup(A191,TSM!A:Q,2,FALSE),"")</f>
        <v/>
      </c>
      <c r="M192" s="93">
        <f t="shared" si="4"/>
        <v>0</v>
      </c>
    </row>
    <row r="193">
      <c r="B193" s="173" t="str">
        <f>IFERROR(vlookup(A193,TSM!A:Q,8,FALSE),"")</f>
        <v/>
      </c>
      <c r="F193" s="93">
        <f t="shared" si="2"/>
        <v>0</v>
      </c>
      <c r="I193" s="173" t="str">
        <f>IFERROR(vlookup(A192,TSM!A:Q,2,FALSE),"")</f>
        <v/>
      </c>
      <c r="M193" s="93">
        <f t="shared" si="4"/>
        <v>0</v>
      </c>
    </row>
    <row r="194">
      <c r="B194" s="173" t="str">
        <f>IFERROR(vlookup(A194,TSM!A:Q,8,FALSE),"")</f>
        <v/>
      </c>
      <c r="F194" s="93">
        <f t="shared" si="2"/>
        <v>0</v>
      </c>
      <c r="I194" s="173" t="str">
        <f>IFERROR(vlookup(A193,TSM!A:Q,2,FALSE),"")</f>
        <v/>
      </c>
      <c r="M194" s="93">
        <f t="shared" si="4"/>
        <v>0</v>
      </c>
    </row>
    <row r="195">
      <c r="B195" s="173" t="str">
        <f>IFERROR(vlookup(A195,TSM!A:Q,8,FALSE),"")</f>
        <v/>
      </c>
      <c r="F195" s="93">
        <f t="shared" si="2"/>
        <v>0</v>
      </c>
      <c r="I195" s="173" t="str">
        <f>IFERROR(vlookup(A194,TSM!A:Q,2,FALSE),"")</f>
        <v/>
      </c>
      <c r="M195" s="93">
        <f t="shared" si="4"/>
        <v>0</v>
      </c>
    </row>
    <row r="196">
      <c r="B196" s="173" t="str">
        <f>IFERROR(vlookup(A196,TSM!A:Q,8,FALSE),"")</f>
        <v/>
      </c>
      <c r="F196" s="93">
        <f t="shared" si="2"/>
        <v>0</v>
      </c>
      <c r="I196" s="173" t="str">
        <f>IFERROR(vlookup(A195,TSM!A:Q,2,FALSE),"")</f>
        <v/>
      </c>
      <c r="M196" s="93">
        <f t="shared" si="4"/>
        <v>0</v>
      </c>
    </row>
    <row r="197">
      <c r="B197" s="173" t="str">
        <f>IFERROR(vlookup(A197,TSM!A:Q,8,FALSE),"")</f>
        <v/>
      </c>
      <c r="F197" s="93">
        <f t="shared" si="2"/>
        <v>0</v>
      </c>
      <c r="I197" s="173" t="str">
        <f>IFERROR(vlookup(A196,TSM!A:Q,2,FALSE),"")</f>
        <v/>
      </c>
      <c r="M197" s="93">
        <f t="shared" si="4"/>
        <v>0</v>
      </c>
    </row>
    <row r="198">
      <c r="B198" s="173" t="str">
        <f>IFERROR(vlookup(A198,TSM!A:Q,8,FALSE),"")</f>
        <v/>
      </c>
      <c r="F198" s="93">
        <f t="shared" si="2"/>
        <v>0</v>
      </c>
      <c r="I198" s="173" t="str">
        <f>IFERROR(vlookup(A197,TSM!A:Q,2,FALSE),"")</f>
        <v/>
      </c>
      <c r="M198" s="93">
        <f t="shared" si="4"/>
        <v>0</v>
      </c>
    </row>
    <row r="199">
      <c r="B199" s="173" t="str">
        <f>IFERROR(vlookup(A199,TSM!A:Q,8,FALSE),"")</f>
        <v/>
      </c>
      <c r="F199" s="93">
        <f t="shared" si="2"/>
        <v>0</v>
      </c>
      <c r="I199" s="173" t="str">
        <f>IFERROR(vlookup(A198,TSM!A:Q,2,FALSE),"")</f>
        <v/>
      </c>
      <c r="M199" s="93">
        <f t="shared" si="4"/>
        <v>0</v>
      </c>
    </row>
    <row r="200">
      <c r="B200" s="173" t="str">
        <f>IFERROR(vlookup(A200,TSM!A:Q,8,FALSE),"")</f>
        <v/>
      </c>
      <c r="F200" s="93">
        <f t="shared" si="2"/>
        <v>0</v>
      </c>
      <c r="I200" s="173" t="str">
        <f>IFERROR(vlookup(A199,TSM!A:Q,2,FALSE),"")</f>
        <v/>
      </c>
      <c r="M200" s="93">
        <f t="shared" si="4"/>
        <v>0</v>
      </c>
    </row>
    <row r="201">
      <c r="B201" s="173" t="str">
        <f>IFERROR(vlookup(A201,TSM!A:Q,8,FALSE),"")</f>
        <v/>
      </c>
      <c r="F201" s="93">
        <f t="shared" si="2"/>
        <v>0</v>
      </c>
      <c r="I201" s="173" t="str">
        <f>IFERROR(vlookup(A200,TSM!A:Q,2,FALSE),"")</f>
        <v/>
      </c>
      <c r="M201" s="93">
        <f t="shared" si="4"/>
        <v>0</v>
      </c>
    </row>
    <row r="202">
      <c r="B202" s="173" t="str">
        <f>IFERROR(vlookup(A202,TSM!A:Q,8,FALSE),"")</f>
        <v/>
      </c>
      <c r="F202" s="93">
        <f t="shared" si="2"/>
        <v>0</v>
      </c>
      <c r="I202" s="173" t="str">
        <f>IFERROR(vlookup(A201,TSM!A:Q,2,FALSE),"")</f>
        <v/>
      </c>
      <c r="M202" s="93">
        <f t="shared" si="4"/>
        <v>0</v>
      </c>
    </row>
    <row r="203">
      <c r="B203" s="173" t="str">
        <f>IFERROR(vlookup(A203,TSM!A:Q,8,FALSE),"")</f>
        <v/>
      </c>
      <c r="F203" s="93">
        <f t="shared" si="2"/>
        <v>0</v>
      </c>
      <c r="I203" s="173" t="str">
        <f>IFERROR(vlookup(A202,TSM!A:Q,2,FALSE),"")</f>
        <v/>
      </c>
      <c r="M203" s="93">
        <f t="shared" si="4"/>
        <v>0</v>
      </c>
    </row>
    <row r="204">
      <c r="B204" s="173" t="str">
        <f>IFERROR(vlookup(A204,TSM!A:Q,8,FALSE),"")</f>
        <v/>
      </c>
      <c r="F204" s="93">
        <f t="shared" si="2"/>
        <v>0</v>
      </c>
      <c r="I204" s="173" t="str">
        <f>IFERROR(vlookup(A203,TSM!A:Q,2,FALSE),"")</f>
        <v/>
      </c>
      <c r="M204" s="93">
        <f t="shared" si="4"/>
        <v>0</v>
      </c>
    </row>
    <row r="205">
      <c r="B205" s="173" t="str">
        <f>IFERROR(vlookup(A205,TSM!A:Q,8,FALSE),"")</f>
        <v/>
      </c>
      <c r="F205" s="93">
        <f t="shared" si="2"/>
        <v>0</v>
      </c>
      <c r="I205" s="173" t="str">
        <f>IFERROR(vlookup(A204,TSM!A:Q,2,FALSE),"")</f>
        <v/>
      </c>
      <c r="M205" s="93">
        <f t="shared" si="4"/>
        <v>0</v>
      </c>
    </row>
    <row r="206">
      <c r="B206" s="173" t="str">
        <f>IFERROR(vlookup(A206,TSM!A:Q,8,FALSE),"")</f>
        <v/>
      </c>
      <c r="F206" s="93">
        <f t="shared" si="2"/>
        <v>0</v>
      </c>
      <c r="I206" s="173" t="str">
        <f>IFERROR(vlookup(A205,TSM!A:Q,2,FALSE),"")</f>
        <v/>
      </c>
      <c r="M206" s="93">
        <f t="shared" si="4"/>
        <v>0</v>
      </c>
    </row>
    <row r="207">
      <c r="B207" s="173" t="str">
        <f>IFERROR(vlookup(A207,TSM!A:Q,8,FALSE),"")</f>
        <v/>
      </c>
      <c r="F207" s="93">
        <f t="shared" si="2"/>
        <v>0</v>
      </c>
      <c r="I207" s="173" t="str">
        <f>IFERROR(vlookup(A206,TSM!A:Q,2,FALSE),"")</f>
        <v/>
      </c>
      <c r="M207" s="93">
        <f t="shared" si="4"/>
        <v>0</v>
      </c>
    </row>
    <row r="208">
      <c r="B208" s="173" t="str">
        <f>IFERROR(vlookup(A208,TSM!A:Q,8,FALSE),"")</f>
        <v/>
      </c>
      <c r="F208" s="93">
        <f t="shared" si="2"/>
        <v>0</v>
      </c>
      <c r="I208" s="173" t="str">
        <f>IFERROR(vlookup(A207,TSM!A:Q,2,FALSE),"")</f>
        <v/>
      </c>
      <c r="M208" s="93">
        <f t="shared" si="4"/>
        <v>0</v>
      </c>
    </row>
    <row r="209">
      <c r="B209" s="173" t="str">
        <f>IFERROR(vlookup(A209,TSM!A:Q,8,FALSE),"")</f>
        <v/>
      </c>
      <c r="F209" s="93">
        <f t="shared" si="2"/>
        <v>0</v>
      </c>
      <c r="I209" s="173" t="str">
        <f>IFERROR(vlookup(A208,TSM!A:Q,2,FALSE),"")</f>
        <v/>
      </c>
      <c r="M209" s="93">
        <f t="shared" si="4"/>
        <v>0</v>
      </c>
    </row>
    <row r="210">
      <c r="B210" s="173" t="str">
        <f>IFERROR(vlookup(A210,TSM!A:Q,8,FALSE),"")</f>
        <v/>
      </c>
      <c r="F210" s="93">
        <f t="shared" si="2"/>
        <v>0</v>
      </c>
      <c r="I210" s="173" t="str">
        <f>IFERROR(vlookup(A209,TSM!A:Q,2,FALSE),"")</f>
        <v/>
      </c>
      <c r="M210" s="93">
        <f t="shared" si="4"/>
        <v>0</v>
      </c>
    </row>
    <row r="211">
      <c r="B211" s="173" t="str">
        <f>IFERROR(vlookup(A211,TSM!A:Q,8,FALSE),"")</f>
        <v/>
      </c>
      <c r="F211" s="93">
        <f t="shared" si="2"/>
        <v>0</v>
      </c>
      <c r="I211" s="173" t="str">
        <f>IFERROR(vlookup(A210,TSM!A:Q,2,FALSE),"")</f>
        <v/>
      </c>
      <c r="M211" s="93">
        <f t="shared" si="4"/>
        <v>0</v>
      </c>
    </row>
    <row r="212">
      <c r="B212" s="173" t="str">
        <f>IFERROR(vlookup(A212,TSM!A:Q,8,FALSE),"")</f>
        <v/>
      </c>
      <c r="F212" s="93">
        <f t="shared" si="2"/>
        <v>0</v>
      </c>
      <c r="I212" s="173" t="str">
        <f>IFERROR(vlookup(A211,TSM!A:Q,2,FALSE),"")</f>
        <v/>
      </c>
      <c r="M212" s="93">
        <f t="shared" si="4"/>
        <v>0</v>
      </c>
    </row>
    <row r="213">
      <c r="B213" s="173" t="str">
        <f>IFERROR(vlookup(A213,TSM!A:Q,8,FALSE),"")</f>
        <v/>
      </c>
      <c r="F213" s="93">
        <f t="shared" si="2"/>
        <v>0</v>
      </c>
      <c r="I213" s="173" t="str">
        <f>IFERROR(vlookup(A212,TSM!A:Q,2,FALSE),"")</f>
        <v/>
      </c>
      <c r="M213" s="93">
        <f t="shared" si="4"/>
        <v>0</v>
      </c>
    </row>
    <row r="214">
      <c r="B214" s="173" t="str">
        <f>IFERROR(vlookup(A214,TSM!A:Q,8,FALSE),"")</f>
        <v/>
      </c>
      <c r="F214" s="93">
        <f t="shared" si="2"/>
        <v>0</v>
      </c>
      <c r="I214" s="173" t="str">
        <f>IFERROR(vlookup(A213,TSM!A:Q,2,FALSE),"")</f>
        <v/>
      </c>
      <c r="M214" s="93">
        <f t="shared" si="4"/>
        <v>0</v>
      </c>
    </row>
    <row r="215">
      <c r="B215" s="173" t="str">
        <f>IFERROR(vlookup(A215,TSM!A:Q,8,FALSE),"")</f>
        <v/>
      </c>
      <c r="F215" s="93">
        <f t="shared" si="2"/>
        <v>0</v>
      </c>
      <c r="I215" s="173" t="str">
        <f>IFERROR(vlookup(A214,TSM!A:Q,2,FALSE),"")</f>
        <v/>
      </c>
      <c r="M215" s="93">
        <f t="shared" si="4"/>
        <v>0</v>
      </c>
    </row>
    <row r="216">
      <c r="B216" s="173" t="str">
        <f>IFERROR(vlookup(A216,TSM!A:Q,8,FALSE),"")</f>
        <v/>
      </c>
      <c r="F216" s="93">
        <f t="shared" si="2"/>
        <v>0</v>
      </c>
      <c r="I216" s="173" t="str">
        <f>IFERROR(vlookup(A215,TSM!A:Q,2,FALSE),"")</f>
        <v/>
      </c>
      <c r="M216" s="93">
        <f t="shared" si="4"/>
        <v>0</v>
      </c>
    </row>
    <row r="217">
      <c r="B217" s="173" t="str">
        <f>IFERROR(vlookup(A217,TSM!A:Q,8,FALSE),"")</f>
        <v/>
      </c>
      <c r="F217" s="93">
        <f t="shared" si="2"/>
        <v>0</v>
      </c>
      <c r="I217" s="173" t="str">
        <f>IFERROR(vlookup(A216,TSM!A:Q,2,FALSE),"")</f>
        <v/>
      </c>
      <c r="M217" s="93">
        <f t="shared" si="4"/>
        <v>0</v>
      </c>
    </row>
    <row r="218">
      <c r="B218" s="173" t="str">
        <f>IFERROR(vlookup(A218,TSM!A:Q,8,FALSE),"")</f>
        <v/>
      </c>
      <c r="F218" s="93">
        <f t="shared" si="2"/>
        <v>0</v>
      </c>
      <c r="I218" s="173" t="str">
        <f>IFERROR(vlookup(A217,TSM!A:Q,2,FALSE),"")</f>
        <v/>
      </c>
      <c r="M218" s="93">
        <f t="shared" si="4"/>
        <v>0</v>
      </c>
    </row>
    <row r="219">
      <c r="B219" s="173" t="str">
        <f>IFERROR(vlookup(A219,TSM!A:Q,8,FALSE),"")</f>
        <v/>
      </c>
      <c r="F219" s="93">
        <f t="shared" si="2"/>
        <v>0</v>
      </c>
      <c r="I219" s="173" t="str">
        <f>IFERROR(vlookup(A218,TSM!A:Q,2,FALSE),"")</f>
        <v/>
      </c>
      <c r="M219" s="93">
        <f t="shared" si="4"/>
        <v>0</v>
      </c>
    </row>
    <row r="220">
      <c r="B220" s="173" t="str">
        <f>IFERROR(vlookup(A220,TSM!A:Q,8,FALSE),"")</f>
        <v/>
      </c>
      <c r="F220" s="93">
        <f t="shared" si="2"/>
        <v>0</v>
      </c>
      <c r="I220" s="173" t="str">
        <f>IFERROR(vlookup(A219,TSM!A:Q,2,FALSE),"")</f>
        <v/>
      </c>
      <c r="M220" s="93">
        <f t="shared" si="4"/>
        <v>0</v>
      </c>
    </row>
    <row r="221">
      <c r="B221" s="173" t="str">
        <f>IFERROR(vlookup(A221,TSM!A:Q,8,FALSE),"")</f>
        <v/>
      </c>
      <c r="F221" s="93">
        <f t="shared" si="2"/>
        <v>0</v>
      </c>
      <c r="I221" s="173" t="str">
        <f>IFERROR(vlookup(A220,TSM!A:Q,2,FALSE),"")</f>
        <v/>
      </c>
      <c r="M221" s="93">
        <f t="shared" si="4"/>
        <v>0</v>
      </c>
    </row>
    <row r="222">
      <c r="B222" s="173" t="str">
        <f>IFERROR(vlookup(A222,TSM!A:Q,8,FALSE),"")</f>
        <v/>
      </c>
      <c r="F222" s="93">
        <f t="shared" si="2"/>
        <v>0</v>
      </c>
      <c r="I222" s="173" t="str">
        <f>IFERROR(vlookup(A221,TSM!A:Q,2,FALSE),"")</f>
        <v/>
      </c>
      <c r="M222" s="93">
        <f t="shared" si="4"/>
        <v>0</v>
      </c>
    </row>
    <row r="223">
      <c r="B223" s="173" t="str">
        <f>IFERROR(vlookup(A223,TSM!A:Q,8,FALSE),"")</f>
        <v/>
      </c>
      <c r="F223" s="93">
        <f t="shared" si="2"/>
        <v>0</v>
      </c>
      <c r="I223" s="173" t="str">
        <f>IFERROR(vlookup(A222,TSM!A:Q,2,FALSE),"")</f>
        <v/>
      </c>
      <c r="M223" s="93">
        <f t="shared" si="4"/>
        <v>0</v>
      </c>
    </row>
    <row r="224">
      <c r="B224" s="173" t="str">
        <f>IFERROR(vlookup(A224,TSM!A:Q,8,FALSE),"")</f>
        <v/>
      </c>
      <c r="F224" s="93">
        <f t="shared" si="2"/>
        <v>0</v>
      </c>
      <c r="I224" s="173" t="str">
        <f>IFERROR(vlookup(A223,TSM!A:Q,2,FALSE),"")</f>
        <v/>
      </c>
      <c r="M224" s="93">
        <f t="shared" si="4"/>
        <v>0</v>
      </c>
    </row>
    <row r="225">
      <c r="B225" s="173" t="str">
        <f>IFERROR(vlookup(A225,TSM!A:Q,8,FALSE),"")</f>
        <v/>
      </c>
      <c r="F225" s="93">
        <f t="shared" si="2"/>
        <v>0</v>
      </c>
      <c r="I225" s="173" t="str">
        <f>IFERROR(vlookup(A224,TSM!A:Q,2,FALSE),"")</f>
        <v/>
      </c>
      <c r="M225" s="93">
        <f t="shared" si="4"/>
        <v>0</v>
      </c>
    </row>
    <row r="226">
      <c r="B226" s="173" t="str">
        <f>IFERROR(vlookup(A226,TSM!A:Q,8,FALSE),"")</f>
        <v/>
      </c>
      <c r="F226" s="93">
        <f t="shared" si="2"/>
        <v>0</v>
      </c>
      <c r="I226" s="173" t="str">
        <f>IFERROR(vlookup(A225,TSM!A:Q,2,FALSE),"")</f>
        <v/>
      </c>
      <c r="M226" s="93">
        <f t="shared" si="4"/>
        <v>0</v>
      </c>
    </row>
    <row r="227">
      <c r="B227" s="173" t="str">
        <f>IFERROR(vlookup(A227,TSM!A:Q,8,FALSE),"")</f>
        <v/>
      </c>
      <c r="F227" s="93">
        <f t="shared" si="2"/>
        <v>0</v>
      </c>
      <c r="I227" s="173" t="str">
        <f>IFERROR(vlookup(A226,TSM!A:Q,2,FALSE),"")</f>
        <v/>
      </c>
      <c r="M227" s="93">
        <f t="shared" si="4"/>
        <v>0</v>
      </c>
    </row>
    <row r="228">
      <c r="B228" s="173" t="str">
        <f>IFERROR(vlookup(A228,TSM!A:Q,8,FALSE),"")</f>
        <v/>
      </c>
      <c r="F228" s="93">
        <f t="shared" si="2"/>
        <v>0</v>
      </c>
      <c r="I228" s="173" t="str">
        <f>IFERROR(vlookup(A227,TSM!A:Q,2,FALSE),"")</f>
        <v/>
      </c>
      <c r="M228" s="93">
        <f t="shared" si="4"/>
        <v>0</v>
      </c>
    </row>
    <row r="229">
      <c r="B229" s="173" t="str">
        <f>IFERROR(vlookup(A229,TSM!A:Q,8,FALSE),"")</f>
        <v/>
      </c>
      <c r="F229" s="93">
        <f t="shared" si="2"/>
        <v>0</v>
      </c>
      <c r="I229" s="173" t="str">
        <f>IFERROR(vlookup(A228,TSM!A:Q,2,FALSE),"")</f>
        <v/>
      </c>
      <c r="M229" s="93">
        <f t="shared" si="4"/>
        <v>0</v>
      </c>
    </row>
    <row r="230">
      <c r="B230" s="173" t="str">
        <f>IFERROR(vlookup(A230,TSM!A:Q,8,FALSE),"")</f>
        <v/>
      </c>
      <c r="F230" s="93">
        <f t="shared" si="2"/>
        <v>0</v>
      </c>
      <c r="I230" s="173" t="str">
        <f>IFERROR(vlookup(A229,TSM!A:Q,2,FALSE),"")</f>
        <v/>
      </c>
      <c r="M230" s="93">
        <f t="shared" si="4"/>
        <v>0</v>
      </c>
    </row>
    <row r="231">
      <c r="B231" s="173" t="str">
        <f>IFERROR(vlookup(A231,TSM!A:Q,8,FALSE),"")</f>
        <v/>
      </c>
      <c r="F231" s="93">
        <f t="shared" si="2"/>
        <v>0</v>
      </c>
      <c r="I231" s="173" t="str">
        <f>IFERROR(vlookup(A230,TSM!A:Q,2,FALSE),"")</f>
        <v/>
      </c>
      <c r="M231" s="93">
        <f t="shared" si="4"/>
        <v>0</v>
      </c>
    </row>
    <row r="232">
      <c r="B232" s="173" t="str">
        <f>IFERROR(vlookup(A232,TSM!A:Q,8,FALSE),"")</f>
        <v/>
      </c>
      <c r="F232" s="93">
        <f t="shared" si="2"/>
        <v>0</v>
      </c>
      <c r="I232" s="173" t="str">
        <f>IFERROR(vlookup(A231,TSM!A:Q,2,FALSE),"")</f>
        <v/>
      </c>
      <c r="M232" s="93">
        <f t="shared" si="4"/>
        <v>0</v>
      </c>
    </row>
    <row r="233">
      <c r="B233" s="173" t="str">
        <f>IFERROR(vlookup(A233,TSM!A:Q,8,FALSE),"")</f>
        <v/>
      </c>
      <c r="F233" s="93">
        <f t="shared" si="2"/>
        <v>0</v>
      </c>
      <c r="I233" s="173" t="str">
        <f>IFERROR(vlookup(A232,TSM!A:Q,2,FALSE),"")</f>
        <v/>
      </c>
      <c r="M233" s="93">
        <f t="shared" si="4"/>
        <v>0</v>
      </c>
    </row>
    <row r="234">
      <c r="B234" s="173" t="str">
        <f>IFERROR(vlookup(A234,TSM!A:Q,8,FALSE),"")</f>
        <v/>
      </c>
      <c r="F234" s="93">
        <f t="shared" si="2"/>
        <v>0</v>
      </c>
      <c r="I234" s="173" t="str">
        <f>IFERROR(vlookup(A233,TSM!A:Q,2,FALSE),"")</f>
        <v/>
      </c>
      <c r="M234" s="93">
        <f t="shared" si="4"/>
        <v>0</v>
      </c>
    </row>
    <row r="235">
      <c r="B235" s="173" t="str">
        <f>IFERROR(vlookup(A235,TSM!A:Q,8,FALSE),"")</f>
        <v/>
      </c>
      <c r="F235" s="93">
        <f t="shared" si="2"/>
        <v>0</v>
      </c>
      <c r="I235" s="173" t="str">
        <f>IFERROR(vlookup(A234,TSM!A:Q,2,FALSE),"")</f>
        <v/>
      </c>
      <c r="M235" s="93">
        <f t="shared" si="4"/>
        <v>0</v>
      </c>
    </row>
    <row r="236">
      <c r="B236" s="173" t="str">
        <f>IFERROR(vlookup(A236,TSM!A:Q,8,FALSE),"")</f>
        <v/>
      </c>
      <c r="F236" s="93">
        <f t="shared" si="2"/>
        <v>0</v>
      </c>
      <c r="I236" s="173" t="str">
        <f>IFERROR(vlookup(A235,TSM!A:Q,2,FALSE),"")</f>
        <v/>
      </c>
      <c r="M236" s="93">
        <f t="shared" si="4"/>
        <v>0</v>
      </c>
    </row>
    <row r="237">
      <c r="B237" s="173" t="str">
        <f>IFERROR(vlookup(A237,TSM!A:Q,8,FALSE),"")</f>
        <v/>
      </c>
      <c r="F237" s="93">
        <f t="shared" si="2"/>
        <v>0</v>
      </c>
      <c r="I237" s="173" t="str">
        <f>IFERROR(vlookup(A236,TSM!A:Q,2,FALSE),"")</f>
        <v/>
      </c>
      <c r="M237" s="93">
        <f t="shared" si="4"/>
        <v>0</v>
      </c>
    </row>
    <row r="238">
      <c r="B238" s="173" t="str">
        <f>IFERROR(vlookup(A238,TSM!A:Q,8,FALSE),"")</f>
        <v/>
      </c>
      <c r="F238" s="93">
        <f t="shared" si="2"/>
        <v>0</v>
      </c>
      <c r="I238" s="173" t="str">
        <f>IFERROR(vlookup(A237,TSM!A:Q,2,FALSE),"")</f>
        <v/>
      </c>
      <c r="M238" s="93">
        <f t="shared" si="4"/>
        <v>0</v>
      </c>
    </row>
    <row r="239">
      <c r="B239" s="173" t="str">
        <f>IFERROR(vlookup(A239,TSM!A:Q,8,FALSE),"")</f>
        <v/>
      </c>
      <c r="F239" s="93">
        <f t="shared" si="2"/>
        <v>0</v>
      </c>
      <c r="I239" s="173" t="str">
        <f>IFERROR(vlookup(A238,TSM!A:Q,2,FALSE),"")</f>
        <v/>
      </c>
      <c r="M239" s="93">
        <f t="shared" si="4"/>
        <v>0</v>
      </c>
    </row>
    <row r="240">
      <c r="B240" s="173" t="str">
        <f>IFERROR(vlookup(A240,TSM!A:Q,8,FALSE),"")</f>
        <v/>
      </c>
      <c r="F240" s="93">
        <f t="shared" si="2"/>
        <v>0</v>
      </c>
      <c r="I240" s="173" t="str">
        <f>IFERROR(vlookup(A239,TSM!A:Q,2,FALSE),"")</f>
        <v/>
      </c>
      <c r="M240" s="93">
        <f t="shared" si="4"/>
        <v>0</v>
      </c>
    </row>
    <row r="241">
      <c r="B241" s="173" t="str">
        <f>IFERROR(vlookup(A241,TSM!A:Q,8,FALSE),"")</f>
        <v/>
      </c>
      <c r="F241" s="93">
        <f t="shared" si="2"/>
        <v>0</v>
      </c>
      <c r="I241" s="173" t="str">
        <f>IFERROR(vlookup(A240,TSM!A:Q,2,FALSE),"")</f>
        <v/>
      </c>
      <c r="M241" s="93">
        <f t="shared" si="4"/>
        <v>0</v>
      </c>
    </row>
    <row r="242">
      <c r="B242" s="173" t="str">
        <f>IFERROR(vlookup(A242,TSM!A:Q,8,FALSE),"")</f>
        <v/>
      </c>
      <c r="F242" s="93">
        <f t="shared" si="2"/>
        <v>0</v>
      </c>
      <c r="I242" s="173" t="str">
        <f>IFERROR(vlookup(A241,TSM!A:Q,2,FALSE),"")</f>
        <v/>
      </c>
      <c r="M242" s="93">
        <f t="shared" si="4"/>
        <v>0</v>
      </c>
    </row>
    <row r="243">
      <c r="B243" s="173" t="str">
        <f>IFERROR(vlookup(A243,TSM!A:Q,8,FALSE),"")</f>
        <v/>
      </c>
      <c r="F243" s="93">
        <f t="shared" si="2"/>
        <v>0</v>
      </c>
      <c r="I243" s="173" t="str">
        <f>IFERROR(vlookup(A242,TSM!A:Q,2,FALSE),"")</f>
        <v/>
      </c>
      <c r="M243" s="93">
        <f t="shared" si="4"/>
        <v>0</v>
      </c>
    </row>
    <row r="244">
      <c r="B244" s="173" t="str">
        <f>IFERROR(vlookup(A244,TSM!A:Q,8,FALSE),"")</f>
        <v/>
      </c>
      <c r="F244" s="93">
        <f t="shared" si="2"/>
        <v>0</v>
      </c>
      <c r="I244" s="173" t="str">
        <f>IFERROR(vlookup(A243,TSM!A:Q,2,FALSE),"")</f>
        <v/>
      </c>
      <c r="M244" s="93">
        <f t="shared" si="4"/>
        <v>0</v>
      </c>
    </row>
    <row r="245">
      <c r="B245" s="173" t="str">
        <f>IFERROR(vlookup(A245,TSM!A:Q,8,FALSE),"")</f>
        <v/>
      </c>
      <c r="F245" s="93">
        <f t="shared" si="2"/>
        <v>0</v>
      </c>
      <c r="I245" s="173" t="str">
        <f>IFERROR(vlookup(A244,TSM!A:Q,2,FALSE),"")</f>
        <v/>
      </c>
      <c r="M245" s="93">
        <f t="shared" si="4"/>
        <v>0</v>
      </c>
    </row>
    <row r="246">
      <c r="B246" s="173" t="str">
        <f>IFERROR(vlookup(A246,TSM!A:Q,8,FALSE),"")</f>
        <v/>
      </c>
      <c r="F246" s="93">
        <f t="shared" si="2"/>
        <v>0</v>
      </c>
      <c r="I246" s="173" t="str">
        <f>IFERROR(vlookup(A245,TSM!A:Q,2,FALSE),"")</f>
        <v/>
      </c>
      <c r="M246" s="93">
        <f t="shared" si="4"/>
        <v>0</v>
      </c>
    </row>
    <row r="247">
      <c r="B247" s="173" t="str">
        <f>IFERROR(vlookup(A247,TSM!A:Q,8,FALSE),"")</f>
        <v/>
      </c>
      <c r="F247" s="93">
        <f t="shared" si="2"/>
        <v>0</v>
      </c>
      <c r="I247" s="173" t="str">
        <f>IFERROR(vlookup(A246,TSM!A:Q,2,FALSE),"")</f>
        <v/>
      </c>
      <c r="M247" s="93">
        <f t="shared" si="4"/>
        <v>0</v>
      </c>
    </row>
    <row r="248">
      <c r="B248" s="173" t="str">
        <f>IFERROR(vlookup(A248,TSM!A:Q,8,FALSE),"")</f>
        <v/>
      </c>
      <c r="F248" s="93">
        <f t="shared" si="2"/>
        <v>0</v>
      </c>
      <c r="I248" s="173" t="str">
        <f>IFERROR(vlookup(A247,TSM!A:Q,2,FALSE),"")</f>
        <v/>
      </c>
      <c r="M248" s="93">
        <f t="shared" si="4"/>
        <v>0</v>
      </c>
    </row>
    <row r="249">
      <c r="B249" s="173" t="str">
        <f>IFERROR(vlookup(A249,TSM!A:Q,8,FALSE),"")</f>
        <v/>
      </c>
      <c r="F249" s="93">
        <f t="shared" si="2"/>
        <v>0</v>
      </c>
      <c r="I249" s="173" t="str">
        <f>IFERROR(vlookup(A248,TSM!A:Q,2,FALSE),"")</f>
        <v/>
      </c>
      <c r="M249" s="93">
        <f t="shared" si="4"/>
        <v>0</v>
      </c>
    </row>
    <row r="250">
      <c r="B250" s="173" t="str">
        <f>IFERROR(vlookup(A250,TSM!A:Q,8,FALSE),"")</f>
        <v/>
      </c>
      <c r="F250" s="93">
        <f t="shared" si="2"/>
        <v>0</v>
      </c>
      <c r="I250" s="173" t="str">
        <f>IFERROR(vlookup(A249,TSM!A:Q,2,FALSE),"")</f>
        <v/>
      </c>
      <c r="M250" s="93">
        <f t="shared" si="4"/>
        <v>0</v>
      </c>
    </row>
    <row r="251">
      <c r="B251" s="173" t="str">
        <f>IFERROR(vlookup(A251,TSM!A:Q,8,FALSE),"")</f>
        <v/>
      </c>
      <c r="F251" s="93">
        <f t="shared" si="2"/>
        <v>0</v>
      </c>
      <c r="I251" s="173" t="str">
        <f>IFERROR(vlookup(A250,TSM!A:Q,2,FALSE),"")</f>
        <v/>
      </c>
      <c r="M251" s="93">
        <f t="shared" si="4"/>
        <v>0</v>
      </c>
    </row>
    <row r="252">
      <c r="B252" s="173" t="str">
        <f>IFERROR(vlookup(A252,TSM!A:Q,8,FALSE),"")</f>
        <v/>
      </c>
      <c r="F252" s="93">
        <f t="shared" si="2"/>
        <v>0</v>
      </c>
      <c r="I252" s="173" t="str">
        <f>IFERROR(vlookup(A251,TSM!A:Q,2,FALSE),"")</f>
        <v/>
      </c>
      <c r="M252" s="93">
        <f t="shared" si="4"/>
        <v>0</v>
      </c>
    </row>
    <row r="253">
      <c r="B253" s="173" t="str">
        <f>IFERROR(vlookup(A253,TSM!A:Q,8,FALSE),"")</f>
        <v/>
      </c>
      <c r="F253" s="93">
        <f t="shared" si="2"/>
        <v>0</v>
      </c>
      <c r="I253" s="173" t="str">
        <f>IFERROR(vlookup(A252,TSM!A:Q,2,FALSE),"")</f>
        <v/>
      </c>
      <c r="M253" s="93">
        <f t="shared" si="4"/>
        <v>0</v>
      </c>
    </row>
    <row r="254">
      <c r="B254" s="173" t="str">
        <f>IFERROR(vlookup(A254,TSM!A:Q,8,FALSE),"")</f>
        <v/>
      </c>
      <c r="F254" s="93">
        <f t="shared" si="2"/>
        <v>0</v>
      </c>
      <c r="I254" s="173" t="str">
        <f>IFERROR(vlookup(A253,TSM!A:Q,2,FALSE),"")</f>
        <v/>
      </c>
      <c r="M254" s="93">
        <f t="shared" si="4"/>
        <v>0</v>
      </c>
    </row>
    <row r="255">
      <c r="B255" s="173" t="str">
        <f>IFERROR(vlookup(A255,TSM!A:Q,8,FALSE),"")</f>
        <v/>
      </c>
      <c r="F255" s="93">
        <f t="shared" si="2"/>
        <v>0</v>
      </c>
      <c r="I255" s="173" t="str">
        <f>IFERROR(vlookup(A254,TSM!A:Q,2,FALSE),"")</f>
        <v/>
      </c>
      <c r="M255" s="93">
        <f t="shared" si="4"/>
        <v>0</v>
      </c>
    </row>
    <row r="256">
      <c r="B256" s="173" t="str">
        <f>IFERROR(vlookup(A256,TSM!A:Q,8,FALSE),"")</f>
        <v/>
      </c>
      <c r="F256" s="93">
        <f t="shared" si="2"/>
        <v>0</v>
      </c>
      <c r="I256" s="173" t="str">
        <f>IFERROR(vlookup(A255,TSM!A:Q,2,FALSE),"")</f>
        <v/>
      </c>
      <c r="M256" s="93">
        <f t="shared" si="4"/>
        <v>0</v>
      </c>
    </row>
    <row r="257">
      <c r="B257" s="173" t="str">
        <f>IFERROR(vlookup(A257,TSM!A:Q,8,FALSE),"")</f>
        <v/>
      </c>
      <c r="F257" s="93">
        <f t="shared" si="2"/>
        <v>0</v>
      </c>
      <c r="I257" s="173" t="str">
        <f>IFERROR(vlookup(A256,TSM!A:Q,2,FALSE),"")</f>
        <v/>
      </c>
      <c r="M257" s="93">
        <f t="shared" si="4"/>
        <v>0</v>
      </c>
    </row>
    <row r="258">
      <c r="B258" s="173" t="str">
        <f>IFERROR(vlookup(A258,TSM!A:Q,8,FALSE),"")</f>
        <v/>
      </c>
      <c r="F258" s="93">
        <f t="shared" si="2"/>
        <v>0</v>
      </c>
      <c r="I258" s="173" t="str">
        <f>IFERROR(vlookup(A257,TSM!A:Q,2,FALSE),"")</f>
        <v/>
      </c>
      <c r="M258" s="93">
        <f t="shared" si="4"/>
        <v>0</v>
      </c>
    </row>
    <row r="259">
      <c r="B259" s="173" t="str">
        <f>IFERROR(vlookup(A259,TSM!A:Q,8,FALSE),"")</f>
        <v/>
      </c>
      <c r="F259" s="93">
        <f t="shared" si="2"/>
        <v>0</v>
      </c>
      <c r="I259" s="173" t="str">
        <f>IFERROR(vlookup(A258,TSM!A:Q,2,FALSE),"")</f>
        <v/>
      </c>
      <c r="M259" s="93">
        <f t="shared" si="4"/>
        <v>0</v>
      </c>
    </row>
    <row r="260">
      <c r="B260" s="173" t="str">
        <f>IFERROR(vlookup(A260,TSM!A:Q,8,FALSE),"")</f>
        <v/>
      </c>
      <c r="F260" s="93">
        <f t="shared" si="2"/>
        <v>0</v>
      </c>
      <c r="I260" s="173" t="str">
        <f>IFERROR(vlookup(A259,TSM!A:Q,2,FALSE),"")</f>
        <v/>
      </c>
      <c r="M260" s="93">
        <f t="shared" si="4"/>
        <v>0</v>
      </c>
    </row>
    <row r="261">
      <c r="B261" s="173" t="str">
        <f>IFERROR(vlookup(A261,TSM!A:Q,8,FALSE),"")</f>
        <v/>
      </c>
      <c r="F261" s="93">
        <f t="shared" si="2"/>
        <v>0</v>
      </c>
      <c r="I261" s="173" t="str">
        <f>IFERROR(vlookup(A260,TSM!A:Q,2,FALSE),"")</f>
        <v/>
      </c>
      <c r="M261" s="93">
        <f t="shared" si="4"/>
        <v>0</v>
      </c>
    </row>
    <row r="262">
      <c r="B262" s="173" t="str">
        <f>IFERROR(vlookup(A262,TSM!A:Q,8,FALSE),"")</f>
        <v/>
      </c>
      <c r="F262" s="93">
        <f t="shared" si="2"/>
        <v>0</v>
      </c>
      <c r="I262" s="173" t="str">
        <f>IFERROR(vlookup(A261,TSM!A:Q,2,FALSE),"")</f>
        <v/>
      </c>
      <c r="M262" s="93">
        <f t="shared" si="4"/>
        <v>0</v>
      </c>
    </row>
    <row r="263">
      <c r="B263" s="173" t="str">
        <f>IFERROR(vlookup(A263,TSM!A:Q,8,FALSE),"")</f>
        <v/>
      </c>
      <c r="F263" s="93">
        <f t="shared" si="2"/>
        <v>0</v>
      </c>
      <c r="I263" s="173" t="str">
        <f>IFERROR(vlookup(A262,TSM!A:Q,2,FALSE),"")</f>
        <v/>
      </c>
      <c r="M263" s="93">
        <f t="shared" si="4"/>
        <v>0</v>
      </c>
    </row>
    <row r="264">
      <c r="B264" s="173" t="str">
        <f>IFERROR(vlookup(A264,TSM!A:Q,8,FALSE),"")</f>
        <v/>
      </c>
      <c r="F264" s="93">
        <f t="shared" si="2"/>
        <v>0</v>
      </c>
      <c r="I264" s="173" t="str">
        <f>IFERROR(vlookup(A263,TSM!A:Q,2,FALSE),"")</f>
        <v/>
      </c>
      <c r="M264" s="93">
        <f t="shared" si="4"/>
        <v>0</v>
      </c>
    </row>
    <row r="265">
      <c r="B265" s="173" t="str">
        <f>IFERROR(vlookup(A265,TSM!A:Q,8,FALSE),"")</f>
        <v/>
      </c>
      <c r="F265" s="93">
        <f t="shared" si="2"/>
        <v>0</v>
      </c>
      <c r="I265" s="173" t="str">
        <f>IFERROR(vlookup(A264,TSM!A:Q,2,FALSE),"")</f>
        <v/>
      </c>
      <c r="M265" s="93">
        <f t="shared" si="4"/>
        <v>0</v>
      </c>
    </row>
    <row r="266">
      <c r="B266" s="173" t="str">
        <f>IFERROR(vlookup(A266,TSM!A:Q,8,FALSE),"")</f>
        <v/>
      </c>
      <c r="F266" s="93">
        <f t="shared" si="2"/>
        <v>0</v>
      </c>
      <c r="I266" s="173" t="str">
        <f>IFERROR(vlookup(A265,TSM!A:Q,2,FALSE),"")</f>
        <v/>
      </c>
      <c r="M266" s="93">
        <f t="shared" si="4"/>
        <v>0</v>
      </c>
    </row>
    <row r="267">
      <c r="B267" s="173" t="str">
        <f>IFERROR(vlookup(A267,TSM!A:Q,8,FALSE),"")</f>
        <v/>
      </c>
      <c r="F267" s="93">
        <f t="shared" si="2"/>
        <v>0</v>
      </c>
      <c r="I267" s="173" t="str">
        <f>IFERROR(vlookup(A266,TSM!A:Q,2,FALSE),"")</f>
        <v/>
      </c>
      <c r="M267" s="93">
        <f t="shared" si="4"/>
        <v>0</v>
      </c>
    </row>
    <row r="268">
      <c r="B268" s="173" t="str">
        <f>IFERROR(vlookup(A268,TSM!A:Q,8,FALSE),"")</f>
        <v/>
      </c>
      <c r="F268" s="93">
        <f t="shared" si="2"/>
        <v>0</v>
      </c>
      <c r="I268" s="173" t="str">
        <f>IFERROR(vlookup(A267,TSM!A:Q,2,FALSE),"")</f>
        <v/>
      </c>
      <c r="M268" s="93">
        <f t="shared" si="4"/>
        <v>0</v>
      </c>
    </row>
    <row r="269">
      <c r="B269" s="173" t="str">
        <f>IFERROR(vlookup(A269,TSM!A:Q,8,FALSE),"")</f>
        <v/>
      </c>
      <c r="F269" s="93">
        <f t="shared" si="2"/>
        <v>0</v>
      </c>
      <c r="I269" s="173" t="str">
        <f>IFERROR(vlookup(A268,TSM!A:Q,2,FALSE),"")</f>
        <v/>
      </c>
      <c r="M269" s="93">
        <f t="shared" si="4"/>
        <v>0</v>
      </c>
    </row>
    <row r="270">
      <c r="B270" s="173" t="str">
        <f>IFERROR(vlookup(A270,TSM!A:Q,8,FALSE),"")</f>
        <v/>
      </c>
      <c r="F270" s="93">
        <f t="shared" si="2"/>
        <v>0</v>
      </c>
      <c r="I270" s="173" t="str">
        <f>IFERROR(vlookup(A269,TSM!A:Q,2,FALSE),"")</f>
        <v/>
      </c>
      <c r="M270" s="93">
        <f t="shared" si="4"/>
        <v>0</v>
      </c>
    </row>
    <row r="271">
      <c r="B271" s="173" t="str">
        <f>IFERROR(vlookup(A271,TSM!A:Q,8,FALSE),"")</f>
        <v/>
      </c>
      <c r="F271" s="93">
        <f t="shared" si="2"/>
        <v>0</v>
      </c>
      <c r="I271" s="173" t="str">
        <f>IFERROR(vlookup(A270,TSM!A:Q,2,FALSE),"")</f>
        <v/>
      </c>
      <c r="M271" s="93">
        <f t="shared" si="4"/>
        <v>0</v>
      </c>
    </row>
    <row r="272">
      <c r="B272" s="173" t="str">
        <f>IFERROR(vlookup(A272,TSM!A:Q,8,FALSE),"")</f>
        <v/>
      </c>
      <c r="F272" s="93">
        <f t="shared" si="2"/>
        <v>0</v>
      </c>
      <c r="I272" s="173" t="str">
        <f>IFERROR(vlookup(A271,TSM!A:Q,2,FALSE),"")</f>
        <v/>
      </c>
      <c r="M272" s="93">
        <f t="shared" si="4"/>
        <v>0</v>
      </c>
    </row>
    <row r="273">
      <c r="B273" s="173" t="str">
        <f>IFERROR(vlookup(A273,TSM!A:Q,8,FALSE),"")</f>
        <v/>
      </c>
      <c r="F273" s="93">
        <f t="shared" si="2"/>
        <v>0</v>
      </c>
      <c r="I273" s="173" t="str">
        <f>IFERROR(vlookup(A272,TSM!A:Q,2,FALSE),"")</f>
        <v/>
      </c>
      <c r="M273" s="93">
        <f t="shared" si="4"/>
        <v>0</v>
      </c>
    </row>
    <row r="274">
      <c r="B274" s="173" t="str">
        <f>IFERROR(vlookup(A274,TSM!A:Q,8,FALSE),"")</f>
        <v/>
      </c>
      <c r="F274" s="93">
        <f t="shared" si="2"/>
        <v>0</v>
      </c>
      <c r="I274" s="173" t="str">
        <f>IFERROR(vlookup(A273,TSM!A:Q,2,FALSE),"")</f>
        <v/>
      </c>
      <c r="M274" s="93">
        <f t="shared" si="4"/>
        <v>0</v>
      </c>
    </row>
    <row r="275">
      <c r="B275" s="173" t="str">
        <f>IFERROR(vlookup(A275,TSM!A:Q,8,FALSE),"")</f>
        <v/>
      </c>
      <c r="F275" s="93">
        <f t="shared" si="2"/>
        <v>0</v>
      </c>
      <c r="I275" s="173" t="str">
        <f>IFERROR(vlookup(A274,TSM!A:Q,2,FALSE),"")</f>
        <v/>
      </c>
      <c r="M275" s="93">
        <f t="shared" si="4"/>
        <v>0</v>
      </c>
    </row>
    <row r="276">
      <c r="B276" s="173" t="str">
        <f>IFERROR(vlookup(A276,TSM!A:Q,8,FALSE),"")</f>
        <v/>
      </c>
      <c r="F276" s="93">
        <f t="shared" si="2"/>
        <v>0</v>
      </c>
      <c r="I276" s="173" t="str">
        <f>IFERROR(vlookup(A275,TSM!A:Q,2,FALSE),"")</f>
        <v/>
      </c>
      <c r="M276" s="93">
        <f t="shared" si="4"/>
        <v>0</v>
      </c>
    </row>
    <row r="277">
      <c r="B277" s="173" t="str">
        <f>IFERROR(vlookup(A277,TSM!A:Q,8,FALSE),"")</f>
        <v/>
      </c>
      <c r="F277" s="93">
        <f t="shared" si="2"/>
        <v>0</v>
      </c>
      <c r="I277" s="173" t="str">
        <f>IFERROR(vlookup(A276,TSM!A:Q,2,FALSE),"")</f>
        <v/>
      </c>
      <c r="M277" s="93">
        <f t="shared" si="4"/>
        <v>0</v>
      </c>
    </row>
    <row r="278">
      <c r="B278" s="173" t="str">
        <f>IFERROR(vlookup(A278,TSM!A:Q,8,FALSE),"")</f>
        <v/>
      </c>
      <c r="F278" s="93">
        <f t="shared" si="2"/>
        <v>0</v>
      </c>
      <c r="I278" s="173" t="str">
        <f>IFERROR(vlookup(A277,TSM!A:Q,2,FALSE),"")</f>
        <v/>
      </c>
      <c r="M278" s="93">
        <f t="shared" si="4"/>
        <v>0</v>
      </c>
    </row>
    <row r="279">
      <c r="B279" s="173" t="str">
        <f>IFERROR(vlookup(A279,TSM!A:Q,8,FALSE),"")</f>
        <v/>
      </c>
      <c r="F279" s="93">
        <f t="shared" si="2"/>
        <v>0</v>
      </c>
      <c r="I279" s="173" t="str">
        <f>IFERROR(vlookup(A278,TSM!A:Q,2,FALSE),"")</f>
        <v/>
      </c>
      <c r="M279" s="93">
        <f t="shared" si="4"/>
        <v>0</v>
      </c>
    </row>
    <row r="280">
      <c r="B280" s="173" t="str">
        <f>IFERROR(vlookup(A280,TSM!A:Q,8,FALSE),"")</f>
        <v/>
      </c>
      <c r="F280" s="93">
        <f t="shared" si="2"/>
        <v>0</v>
      </c>
      <c r="I280" s="173" t="str">
        <f>IFERROR(vlookup(A279,TSM!A:Q,2,FALSE),"")</f>
        <v/>
      </c>
      <c r="M280" s="93">
        <f t="shared" si="4"/>
        <v>0</v>
      </c>
    </row>
    <row r="281">
      <c r="B281" s="173" t="str">
        <f>IFERROR(vlookup(A281,TSM!A:Q,8,FALSE),"")</f>
        <v/>
      </c>
      <c r="F281" s="93">
        <f t="shared" si="2"/>
        <v>0</v>
      </c>
      <c r="I281" s="173" t="str">
        <f>IFERROR(vlookup(A280,TSM!A:Q,2,FALSE),"")</f>
        <v/>
      </c>
      <c r="M281" s="93">
        <f t="shared" si="4"/>
        <v>0</v>
      </c>
    </row>
    <row r="282">
      <c r="B282" s="173" t="str">
        <f>IFERROR(vlookup(A282,TSM!A:Q,8,FALSE),"")</f>
        <v/>
      </c>
      <c r="F282" s="93">
        <f t="shared" si="2"/>
        <v>0</v>
      </c>
      <c r="I282" s="173" t="str">
        <f>IFERROR(vlookup(A281,TSM!A:Q,2,FALSE),"")</f>
        <v/>
      </c>
      <c r="M282" s="93">
        <f t="shared" si="4"/>
        <v>0</v>
      </c>
    </row>
    <row r="283">
      <c r="B283" s="173" t="str">
        <f>IFERROR(vlookup(A283,TSM!A:Q,8,FALSE),"")</f>
        <v/>
      </c>
      <c r="F283" s="93">
        <f t="shared" si="2"/>
        <v>0</v>
      </c>
      <c r="I283" s="173" t="str">
        <f>IFERROR(vlookup(A282,TSM!A:Q,2,FALSE),"")</f>
        <v/>
      </c>
      <c r="M283" s="93">
        <f t="shared" si="4"/>
        <v>0</v>
      </c>
    </row>
    <row r="284">
      <c r="B284" s="173" t="str">
        <f>IFERROR(vlookup(A284,TSM!A:Q,8,FALSE),"")</f>
        <v/>
      </c>
      <c r="F284" s="93">
        <f t="shared" si="2"/>
        <v>0</v>
      </c>
      <c r="I284" s="173" t="str">
        <f>IFERROR(vlookup(A283,TSM!A:Q,2,FALSE),"")</f>
        <v/>
      </c>
      <c r="M284" s="93">
        <f t="shared" si="4"/>
        <v>0</v>
      </c>
    </row>
    <row r="285">
      <c r="B285" s="173" t="str">
        <f>IFERROR(vlookup(A285,TSM!A:Q,8,FALSE),"")</f>
        <v/>
      </c>
      <c r="F285" s="93">
        <f t="shared" si="2"/>
        <v>0</v>
      </c>
      <c r="I285" s="173" t="str">
        <f>IFERROR(vlookup(A284,TSM!A:Q,2,FALSE),"")</f>
        <v/>
      </c>
      <c r="M285" s="93">
        <f t="shared" si="4"/>
        <v>0</v>
      </c>
    </row>
    <row r="286">
      <c r="B286" s="173" t="str">
        <f>IFERROR(vlookup(A286,TSM!A:Q,8,FALSE),"")</f>
        <v/>
      </c>
      <c r="F286" s="93">
        <f t="shared" si="2"/>
        <v>0</v>
      </c>
      <c r="I286" s="173" t="str">
        <f>IFERROR(vlookup(A285,TSM!A:Q,2,FALSE),"")</f>
        <v/>
      </c>
      <c r="M286" s="93">
        <f t="shared" si="4"/>
        <v>0</v>
      </c>
    </row>
    <row r="287">
      <c r="B287" s="173" t="str">
        <f>IFERROR(vlookup(A287,TSM!A:Q,8,FALSE),"")</f>
        <v/>
      </c>
      <c r="F287" s="93">
        <f t="shared" si="2"/>
        <v>0</v>
      </c>
      <c r="I287" s="173" t="str">
        <f>IFERROR(vlookup(A286,TSM!A:Q,2,FALSE),"")</f>
        <v/>
      </c>
      <c r="M287" s="93">
        <f t="shared" si="4"/>
        <v>0</v>
      </c>
    </row>
    <row r="288">
      <c r="B288" s="173" t="str">
        <f>IFERROR(vlookup(A288,TSM!A:Q,8,FALSE),"")</f>
        <v/>
      </c>
      <c r="F288" s="93">
        <f t="shared" si="2"/>
        <v>0</v>
      </c>
      <c r="I288" s="173" t="str">
        <f>IFERROR(vlookup(A287,TSM!A:Q,2,FALSE),"")</f>
        <v/>
      </c>
      <c r="M288" s="93">
        <f t="shared" si="4"/>
        <v>0</v>
      </c>
    </row>
    <row r="289">
      <c r="B289" s="173" t="str">
        <f>IFERROR(vlookup(A289,TSM!A:Q,8,FALSE),"")</f>
        <v/>
      </c>
      <c r="F289" s="93">
        <f t="shared" si="2"/>
        <v>0</v>
      </c>
      <c r="I289" s="173" t="str">
        <f>IFERROR(vlookup(A288,TSM!A:Q,2,FALSE),"")</f>
        <v/>
      </c>
      <c r="M289" s="93">
        <f t="shared" si="4"/>
        <v>0</v>
      </c>
    </row>
    <row r="290">
      <c r="B290" s="173" t="str">
        <f>IFERROR(vlookup(A290,TSM!A:Q,8,FALSE),"")</f>
        <v/>
      </c>
      <c r="F290" s="93">
        <f t="shared" si="2"/>
        <v>0</v>
      </c>
      <c r="I290" s="173" t="str">
        <f>IFERROR(vlookup(A289,TSM!A:Q,2,FALSE),"")</f>
        <v/>
      </c>
      <c r="M290" s="93">
        <f t="shared" si="4"/>
        <v>0</v>
      </c>
    </row>
    <row r="291">
      <c r="B291" s="173" t="str">
        <f>IFERROR(vlookup(A291,TSM!A:Q,8,FALSE),"")</f>
        <v/>
      </c>
      <c r="F291" s="93">
        <f t="shared" si="2"/>
        <v>0</v>
      </c>
      <c r="I291" s="173" t="str">
        <f>IFERROR(vlookup(A290,TSM!A:Q,2,FALSE),"")</f>
        <v/>
      </c>
      <c r="M291" s="93">
        <f t="shared" si="4"/>
        <v>0</v>
      </c>
    </row>
    <row r="292">
      <c r="B292" s="173" t="str">
        <f>IFERROR(vlookup(A292,TSM!A:Q,8,FALSE),"")</f>
        <v/>
      </c>
      <c r="F292" s="93">
        <f t="shared" si="2"/>
        <v>0</v>
      </c>
      <c r="I292" s="173" t="str">
        <f>IFERROR(vlookup(A291,TSM!A:Q,2,FALSE),"")</f>
        <v/>
      </c>
      <c r="M292" s="93">
        <f t="shared" si="4"/>
        <v>0</v>
      </c>
    </row>
    <row r="293">
      <c r="B293" s="173" t="str">
        <f>IFERROR(vlookup(A293,TSM!A:Q,8,FALSE),"")</f>
        <v/>
      </c>
      <c r="F293" s="93">
        <f t="shared" si="2"/>
        <v>0</v>
      </c>
      <c r="I293" s="173" t="str">
        <f>IFERROR(vlookup(A292,TSM!A:Q,2,FALSE),"")</f>
        <v/>
      </c>
      <c r="M293" s="93">
        <f t="shared" si="4"/>
        <v>0</v>
      </c>
    </row>
    <row r="294">
      <c r="B294" s="173" t="str">
        <f>IFERROR(vlookup(A294,TSM!A:Q,8,FALSE),"")</f>
        <v/>
      </c>
      <c r="F294" s="93">
        <f t="shared" si="2"/>
        <v>0</v>
      </c>
      <c r="I294" s="173" t="str">
        <f>IFERROR(vlookup(A293,TSM!A:Q,2,FALSE),"")</f>
        <v/>
      </c>
      <c r="M294" s="93">
        <f t="shared" si="4"/>
        <v>0</v>
      </c>
    </row>
    <row r="295">
      <c r="B295" s="173" t="str">
        <f>IFERROR(vlookup(A295,TSM!A:Q,8,FALSE),"")</f>
        <v/>
      </c>
      <c r="F295" s="93">
        <f t="shared" si="2"/>
        <v>0</v>
      </c>
      <c r="I295" s="173" t="str">
        <f>IFERROR(vlookup(A294,TSM!A:Q,2,FALSE),"")</f>
        <v/>
      </c>
      <c r="M295" s="93">
        <f t="shared" si="4"/>
        <v>0</v>
      </c>
    </row>
    <row r="296">
      <c r="B296" s="173" t="str">
        <f>IFERROR(vlookup(A296,TSM!A:Q,8,FALSE),"")</f>
        <v/>
      </c>
      <c r="F296" s="93">
        <f t="shared" si="2"/>
        <v>0</v>
      </c>
      <c r="I296" s="173" t="str">
        <f>IFERROR(vlookup(A295,TSM!A:Q,2,FALSE),"")</f>
        <v/>
      </c>
      <c r="M296" s="93">
        <f t="shared" si="4"/>
        <v>0</v>
      </c>
    </row>
    <row r="297">
      <c r="B297" s="173" t="str">
        <f>IFERROR(vlookup(A297,TSM!A:Q,8,FALSE),"")</f>
        <v/>
      </c>
      <c r="F297" s="93">
        <f t="shared" si="2"/>
        <v>0</v>
      </c>
      <c r="I297" s="173" t="str">
        <f>IFERROR(vlookup(A296,TSM!A:Q,2,FALSE),"")</f>
        <v/>
      </c>
      <c r="M297" s="93">
        <f t="shared" si="4"/>
        <v>0</v>
      </c>
    </row>
    <row r="298">
      <c r="B298" s="173" t="str">
        <f>IFERROR(vlookup(A298,TSM!A:Q,8,FALSE),"")</f>
        <v/>
      </c>
      <c r="F298" s="93">
        <f t="shared" si="2"/>
        <v>0</v>
      </c>
      <c r="I298" s="173" t="str">
        <f>IFERROR(vlookup(A297,TSM!A:Q,2,FALSE),"")</f>
        <v/>
      </c>
      <c r="M298" s="93">
        <f t="shared" si="4"/>
        <v>0</v>
      </c>
    </row>
    <row r="299">
      <c r="B299" s="173" t="str">
        <f>IFERROR(vlookup(A299,TSM!A:Q,8,FALSE),"")</f>
        <v/>
      </c>
      <c r="F299" s="93">
        <f t="shared" si="2"/>
        <v>0</v>
      </c>
      <c r="I299" s="173" t="str">
        <f>IFERROR(vlookup(A298,TSM!A:Q,2,FALSE),"")</f>
        <v/>
      </c>
      <c r="M299" s="93">
        <f t="shared" si="4"/>
        <v>0</v>
      </c>
    </row>
    <row r="300">
      <c r="B300" s="173" t="str">
        <f>IFERROR(vlookup(A300,TSM!A:Q,8,FALSE),"")</f>
        <v/>
      </c>
      <c r="F300" s="93">
        <f t="shared" si="2"/>
        <v>0</v>
      </c>
      <c r="I300" s="173" t="str">
        <f>IFERROR(vlookup(A299,TSM!A:Q,2,FALSE),"")</f>
        <v/>
      </c>
      <c r="M300" s="93">
        <f t="shared" si="4"/>
        <v>0</v>
      </c>
    </row>
    <row r="301">
      <c r="B301" s="173" t="str">
        <f>IFERROR(vlookup(A301,TSM!A:Q,8,FALSE),"")</f>
        <v/>
      </c>
      <c r="F301" s="93">
        <f t="shared" si="2"/>
        <v>0</v>
      </c>
      <c r="I301" s="173" t="str">
        <f>IFERROR(vlookup(A300,TSM!A:Q,2,FALSE),"")</f>
        <v/>
      </c>
      <c r="M301" s="93">
        <f t="shared" si="4"/>
        <v>0</v>
      </c>
    </row>
    <row r="302">
      <c r="B302" s="173" t="str">
        <f>IFERROR(vlookup(A302,TSM!A:Q,8,FALSE),"")</f>
        <v/>
      </c>
      <c r="F302" s="93">
        <f t="shared" si="2"/>
        <v>0</v>
      </c>
      <c r="I302" s="173" t="str">
        <f>IFERROR(vlookup(A301,TSM!A:Q,2,FALSE),"")</f>
        <v/>
      </c>
      <c r="M302" s="93">
        <f t="shared" si="4"/>
        <v>0</v>
      </c>
    </row>
    <row r="303">
      <c r="B303" s="173" t="str">
        <f>IFERROR(vlookup(A303,TSM!A:Q,8,FALSE),"")</f>
        <v/>
      </c>
      <c r="F303" s="93">
        <f t="shared" si="2"/>
        <v>0</v>
      </c>
      <c r="I303" s="173" t="str">
        <f>IFERROR(vlookup(A302,TSM!A:Q,2,FALSE),"")</f>
        <v/>
      </c>
      <c r="M303" s="93">
        <f t="shared" si="4"/>
        <v>0</v>
      </c>
    </row>
    <row r="304">
      <c r="B304" s="173" t="str">
        <f>IFERROR(vlookup(A304,TSM!A:Q,8,FALSE),"")</f>
        <v/>
      </c>
      <c r="F304" s="93">
        <f t="shared" si="2"/>
        <v>0</v>
      </c>
      <c r="I304" s="173" t="str">
        <f>IFERROR(vlookup(A303,TSM!A:Q,2,FALSE),"")</f>
        <v/>
      </c>
      <c r="M304" s="93">
        <f t="shared" si="4"/>
        <v>0</v>
      </c>
    </row>
    <row r="305">
      <c r="B305" s="173" t="str">
        <f>IFERROR(vlookup(A305,TSM!A:Q,8,FALSE),"")</f>
        <v/>
      </c>
      <c r="F305" s="93">
        <f t="shared" si="2"/>
        <v>0</v>
      </c>
      <c r="I305" s="173" t="str">
        <f>IFERROR(vlookup(A304,TSM!A:Q,2,FALSE),"")</f>
        <v/>
      </c>
      <c r="M305" s="93">
        <f t="shared" si="4"/>
        <v>0</v>
      </c>
    </row>
    <row r="306">
      <c r="B306" s="173" t="str">
        <f>IFERROR(vlookup(A306,TSM!A:Q,8,FALSE),"")</f>
        <v/>
      </c>
      <c r="F306" s="93">
        <f t="shared" si="2"/>
        <v>0</v>
      </c>
      <c r="I306" s="173" t="str">
        <f>IFERROR(vlookup(A305,TSM!A:Q,2,FALSE),"")</f>
        <v/>
      </c>
      <c r="M306" s="93">
        <f t="shared" si="4"/>
        <v>0</v>
      </c>
    </row>
    <row r="307">
      <c r="B307" s="173" t="str">
        <f>IFERROR(vlookup(A307,TSM!A:Q,8,FALSE),"")</f>
        <v/>
      </c>
      <c r="F307" s="93">
        <f t="shared" si="2"/>
        <v>0</v>
      </c>
      <c r="I307" s="173" t="str">
        <f>IFERROR(vlookup(A306,TSM!A:Q,2,FALSE),"")</f>
        <v/>
      </c>
      <c r="M307" s="93">
        <f t="shared" si="4"/>
        <v>0</v>
      </c>
    </row>
    <row r="308">
      <c r="B308" s="173" t="str">
        <f>IFERROR(vlookup(A308,TSM!A:Q,8,FALSE),"")</f>
        <v/>
      </c>
      <c r="F308" s="93">
        <f t="shared" si="2"/>
        <v>0</v>
      </c>
      <c r="I308" s="173" t="str">
        <f>IFERROR(vlookup(A307,TSM!A:Q,2,FALSE),"")</f>
        <v/>
      </c>
      <c r="M308" s="93">
        <f t="shared" si="4"/>
        <v>0</v>
      </c>
    </row>
    <row r="309">
      <c r="B309" s="173" t="str">
        <f>IFERROR(vlookup(A309,TSM!A:Q,8,FALSE),"")</f>
        <v/>
      </c>
      <c r="F309" s="93">
        <f t="shared" si="2"/>
        <v>0</v>
      </c>
      <c r="I309" s="173" t="str">
        <f>IFERROR(vlookup(A308,TSM!A:Q,2,FALSE),"")</f>
        <v/>
      </c>
      <c r="M309" s="93">
        <f t="shared" si="4"/>
        <v>0</v>
      </c>
    </row>
    <row r="310">
      <c r="B310" s="173" t="str">
        <f>IFERROR(vlookup(A310,TSM!A:Q,8,FALSE),"")</f>
        <v/>
      </c>
      <c r="F310" s="93">
        <f t="shared" si="2"/>
        <v>0</v>
      </c>
      <c r="I310" s="173" t="str">
        <f>IFERROR(vlookup(A309,TSM!A:Q,2,FALSE),"")</f>
        <v/>
      </c>
      <c r="M310" s="93">
        <f t="shared" si="4"/>
        <v>0</v>
      </c>
    </row>
    <row r="311">
      <c r="B311" s="173" t="str">
        <f>IFERROR(vlookup(A311,TSM!A:Q,8,FALSE),"")</f>
        <v/>
      </c>
      <c r="F311" s="93">
        <f t="shared" si="2"/>
        <v>0</v>
      </c>
      <c r="I311" s="173" t="str">
        <f>IFERROR(vlookup(A310,TSM!A:Q,2,FALSE),"")</f>
        <v/>
      </c>
      <c r="M311" s="93">
        <f t="shared" si="4"/>
        <v>0</v>
      </c>
    </row>
    <row r="312">
      <c r="B312" s="173" t="str">
        <f>IFERROR(vlookup(A312,TSM!A:Q,8,FALSE),"")</f>
        <v/>
      </c>
      <c r="F312" s="93">
        <f t="shared" si="2"/>
        <v>0</v>
      </c>
      <c r="I312" s="173" t="str">
        <f>IFERROR(vlookup(A311,TSM!A:Q,2,FALSE),"")</f>
        <v/>
      </c>
      <c r="M312" s="93">
        <f t="shared" si="4"/>
        <v>0</v>
      </c>
    </row>
    <row r="313">
      <c r="B313" s="173" t="str">
        <f>IFERROR(vlookup(A313,TSM!A:Q,8,FALSE),"")</f>
        <v/>
      </c>
      <c r="F313" s="93">
        <f t="shared" si="2"/>
        <v>0</v>
      </c>
      <c r="I313" s="173" t="str">
        <f>IFERROR(vlookup(A312,TSM!A:Q,2,FALSE),"")</f>
        <v/>
      </c>
      <c r="M313" s="93">
        <f t="shared" si="4"/>
        <v>0</v>
      </c>
    </row>
    <row r="314">
      <c r="B314" s="173" t="str">
        <f>IFERROR(vlookup(A314,TSM!A:Q,8,FALSE),"")</f>
        <v/>
      </c>
      <c r="F314" s="93">
        <f t="shared" si="2"/>
        <v>0</v>
      </c>
      <c r="I314" s="173" t="str">
        <f>IFERROR(vlookup(A313,TSM!A:Q,2,FALSE),"")</f>
        <v/>
      </c>
      <c r="M314" s="93">
        <f t="shared" si="4"/>
        <v>0</v>
      </c>
    </row>
    <row r="315">
      <c r="B315" s="173" t="str">
        <f>IFERROR(vlookup(A315,TSM!A:Q,8,FALSE),"")</f>
        <v/>
      </c>
      <c r="F315" s="93">
        <f t="shared" si="2"/>
        <v>0</v>
      </c>
      <c r="I315" s="173" t="str">
        <f>IFERROR(vlookup(A314,TSM!A:Q,2,FALSE),"")</f>
        <v/>
      </c>
      <c r="M315" s="93">
        <f t="shared" si="4"/>
        <v>0</v>
      </c>
    </row>
    <row r="316">
      <c r="B316" s="173" t="str">
        <f>IFERROR(vlookup(A316,TSM!A:Q,8,FALSE),"")</f>
        <v/>
      </c>
      <c r="F316" s="93">
        <f t="shared" si="2"/>
        <v>0</v>
      </c>
      <c r="I316" s="173" t="str">
        <f>IFERROR(vlookup(A315,TSM!A:Q,2,FALSE),"")</f>
        <v/>
      </c>
      <c r="M316" s="93">
        <f t="shared" si="4"/>
        <v>0</v>
      </c>
    </row>
    <row r="317">
      <c r="B317" s="173" t="str">
        <f>IFERROR(vlookup(A317,TSM!A:Q,8,FALSE),"")</f>
        <v/>
      </c>
      <c r="F317" s="93">
        <f t="shared" si="2"/>
        <v>0</v>
      </c>
      <c r="I317" s="173" t="str">
        <f>IFERROR(vlookup(A316,TSM!A:Q,2,FALSE),"")</f>
        <v/>
      </c>
      <c r="M317" s="93">
        <f t="shared" si="4"/>
        <v>0</v>
      </c>
    </row>
    <row r="318">
      <c r="B318" s="173" t="str">
        <f>IFERROR(vlookup(A318,TSM!A:Q,8,FALSE),"")</f>
        <v/>
      </c>
      <c r="F318" s="93">
        <f t="shared" si="2"/>
        <v>0</v>
      </c>
      <c r="I318" s="173" t="str">
        <f>IFERROR(vlookup(A317,TSM!A:Q,2,FALSE),"")</f>
        <v/>
      </c>
      <c r="M318" s="93">
        <f t="shared" si="4"/>
        <v>0</v>
      </c>
    </row>
    <row r="319">
      <c r="B319" s="173" t="str">
        <f>IFERROR(vlookup(A319,TSM!A:Q,8,FALSE),"")</f>
        <v/>
      </c>
      <c r="F319" s="93">
        <f t="shared" si="2"/>
        <v>0</v>
      </c>
      <c r="I319" s="173" t="str">
        <f>IFERROR(vlookup(A318,TSM!A:Q,2,FALSE),"")</f>
        <v/>
      </c>
      <c r="M319" s="93">
        <f t="shared" si="4"/>
        <v>0</v>
      </c>
    </row>
    <row r="320">
      <c r="B320" s="173" t="str">
        <f>IFERROR(vlookup(A320,TSM!A:Q,8,FALSE),"")</f>
        <v/>
      </c>
      <c r="F320" s="93">
        <f t="shared" si="2"/>
        <v>0</v>
      </c>
      <c r="I320" s="173" t="str">
        <f>IFERROR(vlookup(A319,TSM!A:Q,2,FALSE),"")</f>
        <v/>
      </c>
      <c r="M320" s="93">
        <f t="shared" si="4"/>
        <v>0</v>
      </c>
    </row>
    <row r="321">
      <c r="B321" s="173" t="str">
        <f>IFERROR(vlookup(A321,TSM!A:Q,8,FALSE),"")</f>
        <v/>
      </c>
      <c r="F321" s="93">
        <f t="shared" si="2"/>
        <v>0</v>
      </c>
      <c r="I321" s="173" t="str">
        <f>IFERROR(vlookup(A320,TSM!A:Q,2,FALSE),"")</f>
        <v/>
      </c>
      <c r="M321" s="93">
        <f t="shared" si="4"/>
        <v>0</v>
      </c>
    </row>
    <row r="322">
      <c r="B322" s="173" t="str">
        <f>IFERROR(vlookup(A322,TSM!A:Q,8,FALSE),"")</f>
        <v/>
      </c>
      <c r="F322" s="93">
        <f t="shared" si="2"/>
        <v>0</v>
      </c>
      <c r="I322" s="173" t="str">
        <f>IFERROR(vlookup(A321,TSM!A:Q,2,FALSE),"")</f>
        <v/>
      </c>
      <c r="M322" s="93">
        <f t="shared" si="4"/>
        <v>0</v>
      </c>
    </row>
    <row r="323">
      <c r="B323" s="173" t="str">
        <f>IFERROR(vlookup(A323,TSM!A:Q,8,FALSE),"")</f>
        <v/>
      </c>
      <c r="F323" s="93">
        <f t="shared" si="2"/>
        <v>0</v>
      </c>
      <c r="I323" s="173" t="str">
        <f>IFERROR(vlookup(A322,TSM!A:Q,2,FALSE),"")</f>
        <v/>
      </c>
      <c r="M323" s="93">
        <f t="shared" si="4"/>
        <v>0</v>
      </c>
    </row>
    <row r="324">
      <c r="B324" s="173" t="str">
        <f>IFERROR(vlookup(A324,TSM!A:Q,8,FALSE),"")</f>
        <v/>
      </c>
      <c r="F324" s="93">
        <f t="shared" si="2"/>
        <v>0</v>
      </c>
      <c r="I324" s="173" t="str">
        <f>IFERROR(vlookup(A323,TSM!A:Q,2,FALSE),"")</f>
        <v/>
      </c>
      <c r="M324" s="93">
        <f t="shared" si="4"/>
        <v>0</v>
      </c>
    </row>
    <row r="325">
      <c r="B325" s="173" t="str">
        <f>IFERROR(vlookup(A325,TSM!A:Q,8,FALSE),"")</f>
        <v/>
      </c>
      <c r="F325" s="93">
        <f t="shared" si="2"/>
        <v>0</v>
      </c>
      <c r="I325" s="173" t="str">
        <f>IFERROR(vlookup(A324,TSM!A:Q,2,FALSE),"")</f>
        <v/>
      </c>
      <c r="M325" s="93">
        <f t="shared" si="4"/>
        <v>0</v>
      </c>
    </row>
    <row r="326">
      <c r="B326" s="173" t="str">
        <f>IFERROR(vlookup(A326,TSM!A:Q,8,FALSE),"")</f>
        <v/>
      </c>
      <c r="F326" s="93">
        <f t="shared" si="2"/>
        <v>0</v>
      </c>
      <c r="I326" s="173" t="str">
        <f>IFERROR(vlookup(A325,TSM!A:Q,2,FALSE),"")</f>
        <v/>
      </c>
      <c r="M326" s="93">
        <f t="shared" si="4"/>
        <v>0</v>
      </c>
    </row>
    <row r="327">
      <c r="B327" s="173" t="str">
        <f>IFERROR(vlookup(A327,TSM!A:Q,8,FALSE),"")</f>
        <v/>
      </c>
      <c r="F327" s="93">
        <f t="shared" si="2"/>
        <v>0</v>
      </c>
      <c r="I327" s="173" t="str">
        <f>IFERROR(vlookup(A326,TSM!A:Q,2,FALSE),"")</f>
        <v/>
      </c>
      <c r="M327" s="93">
        <f t="shared" si="4"/>
        <v>0</v>
      </c>
    </row>
    <row r="328">
      <c r="B328" s="173" t="str">
        <f>IFERROR(vlookup(A328,TSM!A:Q,8,FALSE),"")</f>
        <v/>
      </c>
      <c r="F328" s="93">
        <f t="shared" si="2"/>
        <v>0</v>
      </c>
      <c r="I328" s="173" t="str">
        <f>IFERROR(vlookup(A327,TSM!A:Q,2,FALSE),"")</f>
        <v/>
      </c>
      <c r="M328" s="93">
        <f t="shared" si="4"/>
        <v>0</v>
      </c>
    </row>
    <row r="329">
      <c r="B329" s="173" t="str">
        <f>IFERROR(vlookup(A329,TSM!A:Q,8,FALSE),"")</f>
        <v/>
      </c>
      <c r="F329" s="93">
        <f t="shared" si="2"/>
        <v>0</v>
      </c>
      <c r="I329" s="173" t="str">
        <f>IFERROR(vlookup(A328,TSM!A:Q,2,FALSE),"")</f>
        <v/>
      </c>
      <c r="M329" s="93">
        <f t="shared" si="4"/>
        <v>0</v>
      </c>
    </row>
    <row r="330">
      <c r="B330" s="173" t="str">
        <f>IFERROR(vlookup(A330,TSM!A:Q,8,FALSE),"")</f>
        <v/>
      </c>
      <c r="F330" s="93">
        <f t="shared" si="2"/>
        <v>0</v>
      </c>
      <c r="I330" s="173" t="str">
        <f>IFERROR(vlookup(A329,TSM!A:Q,2,FALSE),"")</f>
        <v/>
      </c>
      <c r="M330" s="93">
        <f t="shared" si="4"/>
        <v>0</v>
      </c>
    </row>
    <row r="331">
      <c r="B331" s="173" t="str">
        <f>IFERROR(vlookup(A331,TSM!A:Q,8,FALSE),"")</f>
        <v/>
      </c>
      <c r="F331" s="93">
        <f t="shared" si="2"/>
        <v>0</v>
      </c>
      <c r="I331" s="173" t="str">
        <f>IFERROR(vlookup(A330,TSM!A:Q,2,FALSE),"")</f>
        <v/>
      </c>
      <c r="M331" s="93">
        <f t="shared" si="4"/>
        <v>0</v>
      </c>
    </row>
    <row r="332">
      <c r="B332" s="173" t="str">
        <f>IFERROR(vlookup(A332,TSM!A:Q,8,FALSE),"")</f>
        <v/>
      </c>
      <c r="F332" s="93">
        <f t="shared" si="2"/>
        <v>0</v>
      </c>
      <c r="I332" s="173" t="str">
        <f>IFERROR(vlookup(A331,TSM!A:Q,2,FALSE),"")</f>
        <v/>
      </c>
      <c r="M332" s="93">
        <f t="shared" si="4"/>
        <v>0</v>
      </c>
    </row>
    <row r="333">
      <c r="B333" s="173" t="str">
        <f>IFERROR(vlookup(A333,TSM!A:Q,8,FALSE),"")</f>
        <v/>
      </c>
      <c r="F333" s="93">
        <f t="shared" si="2"/>
        <v>0</v>
      </c>
      <c r="I333" s="173" t="str">
        <f>IFERROR(vlookup(A332,TSM!A:Q,2,FALSE),"")</f>
        <v/>
      </c>
      <c r="M333" s="93">
        <f t="shared" si="4"/>
        <v>0</v>
      </c>
    </row>
    <row r="334">
      <c r="B334" s="173" t="str">
        <f>IFERROR(vlookup(A334,TSM!A:Q,8,FALSE),"")</f>
        <v/>
      </c>
      <c r="F334" s="93">
        <f t="shared" si="2"/>
        <v>0</v>
      </c>
      <c r="I334" s="173" t="str">
        <f>IFERROR(vlookup(A333,TSM!A:Q,2,FALSE),"")</f>
        <v/>
      </c>
      <c r="M334" s="93">
        <f t="shared" si="4"/>
        <v>0</v>
      </c>
    </row>
    <row r="335">
      <c r="B335" s="173" t="str">
        <f>IFERROR(vlookup(A335,TSM!A:Q,8,FALSE),"")</f>
        <v/>
      </c>
      <c r="F335" s="93">
        <f t="shared" si="2"/>
        <v>0</v>
      </c>
      <c r="I335" s="173" t="str">
        <f>IFERROR(vlookup(A334,TSM!A:Q,2,FALSE),"")</f>
        <v/>
      </c>
      <c r="M335" s="93">
        <f t="shared" si="4"/>
        <v>0</v>
      </c>
    </row>
    <row r="336">
      <c r="B336" s="173" t="str">
        <f>IFERROR(vlookup(A336,TSM!A:Q,8,FALSE),"")</f>
        <v/>
      </c>
      <c r="F336" s="93">
        <f t="shared" si="2"/>
        <v>0</v>
      </c>
      <c r="I336" s="173" t="str">
        <f>IFERROR(vlookup(A335,TSM!A:Q,2,FALSE),"")</f>
        <v/>
      </c>
      <c r="M336" s="93">
        <f t="shared" si="4"/>
        <v>0</v>
      </c>
    </row>
    <row r="337">
      <c r="B337" s="173" t="str">
        <f>IFERROR(vlookup(A337,TSM!A:Q,8,FALSE),"")</f>
        <v/>
      </c>
      <c r="F337" s="93">
        <f t="shared" si="2"/>
        <v>0</v>
      </c>
      <c r="I337" s="173" t="str">
        <f>IFERROR(vlookup(A336,TSM!A:Q,2,FALSE),"")</f>
        <v/>
      </c>
      <c r="M337" s="93">
        <f t="shared" si="4"/>
        <v>0</v>
      </c>
    </row>
    <row r="338">
      <c r="B338" s="173" t="str">
        <f>IFERROR(vlookup(A338,TSM!A:Q,8,FALSE),"")</f>
        <v/>
      </c>
      <c r="F338" s="93">
        <f t="shared" si="2"/>
        <v>0</v>
      </c>
      <c r="I338" s="173" t="str">
        <f>IFERROR(vlookup(A337,TSM!A:Q,2,FALSE),"")</f>
        <v/>
      </c>
      <c r="M338" s="93">
        <f t="shared" si="4"/>
        <v>0</v>
      </c>
    </row>
    <row r="339">
      <c r="B339" s="173" t="str">
        <f>IFERROR(vlookup(A339,TSM!A:Q,8,FALSE),"")</f>
        <v/>
      </c>
      <c r="F339" s="93">
        <f t="shared" si="2"/>
        <v>0</v>
      </c>
      <c r="I339" s="173" t="str">
        <f>IFERROR(vlookup(A338,TSM!A:Q,2,FALSE),"")</f>
        <v/>
      </c>
      <c r="M339" s="93">
        <f t="shared" si="4"/>
        <v>0</v>
      </c>
    </row>
    <row r="340">
      <c r="B340" s="173" t="str">
        <f>IFERROR(vlookup(A340,TSM!A:Q,8,FALSE),"")</f>
        <v/>
      </c>
      <c r="F340" s="93">
        <f t="shared" si="2"/>
        <v>0</v>
      </c>
      <c r="I340" s="173" t="str">
        <f>IFERROR(vlookup(A339,TSM!A:Q,2,FALSE),"")</f>
        <v/>
      </c>
      <c r="M340" s="93">
        <f t="shared" si="4"/>
        <v>0</v>
      </c>
    </row>
    <row r="341">
      <c r="B341" s="173" t="str">
        <f>IFERROR(vlookup(A341,TSM!A:Q,8,FALSE),"")</f>
        <v/>
      </c>
      <c r="F341" s="93">
        <f t="shared" si="2"/>
        <v>0</v>
      </c>
      <c r="I341" s="173" t="str">
        <f>IFERROR(vlookup(A340,TSM!A:Q,2,FALSE),"")</f>
        <v/>
      </c>
      <c r="M341" s="93">
        <f t="shared" si="4"/>
        <v>0</v>
      </c>
    </row>
    <row r="342">
      <c r="B342" s="173" t="str">
        <f>IFERROR(vlookup(A342,TSM!A:Q,8,FALSE),"")</f>
        <v/>
      </c>
      <c r="F342" s="93">
        <f t="shared" si="2"/>
        <v>0</v>
      </c>
      <c r="I342" s="173" t="str">
        <f>IFERROR(vlookup(A341,TSM!A:Q,2,FALSE),"")</f>
        <v/>
      </c>
      <c r="M342" s="93">
        <f t="shared" si="4"/>
        <v>0</v>
      </c>
    </row>
    <row r="343">
      <c r="B343" s="173" t="str">
        <f>IFERROR(vlookup(A343,TSM!A:Q,8,FALSE),"")</f>
        <v/>
      </c>
      <c r="F343" s="93">
        <f t="shared" si="2"/>
        <v>0</v>
      </c>
      <c r="I343" s="173" t="str">
        <f>IFERROR(vlookup(A342,TSM!A:Q,2,FALSE),"")</f>
        <v/>
      </c>
      <c r="M343" s="93">
        <f t="shared" si="4"/>
        <v>0</v>
      </c>
    </row>
    <row r="344">
      <c r="B344" s="173" t="str">
        <f>IFERROR(vlookup(A344,TSM!A:Q,8,FALSE),"")</f>
        <v/>
      </c>
      <c r="F344" s="93">
        <f t="shared" si="2"/>
        <v>0</v>
      </c>
      <c r="I344" s="173" t="str">
        <f>IFERROR(vlookup(A343,TSM!A:Q,2,FALSE),"")</f>
        <v/>
      </c>
      <c r="M344" s="93">
        <f t="shared" si="4"/>
        <v>0</v>
      </c>
    </row>
    <row r="345">
      <c r="B345" s="173" t="str">
        <f>IFERROR(vlookup(A345,TSM!A:Q,8,FALSE),"")</f>
        <v/>
      </c>
      <c r="F345" s="93">
        <f t="shared" si="2"/>
        <v>0</v>
      </c>
      <c r="I345" s="173" t="str">
        <f>IFERROR(vlookup(A344,TSM!A:Q,2,FALSE),"")</f>
        <v/>
      </c>
      <c r="M345" s="93">
        <f t="shared" si="4"/>
        <v>0</v>
      </c>
    </row>
    <row r="346">
      <c r="B346" s="173" t="str">
        <f>IFERROR(vlookup(A346,TSM!A:Q,8,FALSE),"")</f>
        <v/>
      </c>
      <c r="F346" s="93">
        <f t="shared" si="2"/>
        <v>0</v>
      </c>
      <c r="I346" s="173" t="str">
        <f>IFERROR(vlookup(A345,TSM!A:Q,2,FALSE),"")</f>
        <v/>
      </c>
      <c r="M346" s="93">
        <f t="shared" si="4"/>
        <v>0</v>
      </c>
    </row>
    <row r="347">
      <c r="B347" s="173" t="str">
        <f>IFERROR(vlookup(A347,TSM!A:Q,8,FALSE),"")</f>
        <v/>
      </c>
      <c r="F347" s="93">
        <f t="shared" si="2"/>
        <v>0</v>
      </c>
      <c r="I347" s="173" t="str">
        <f>IFERROR(vlookup(A346,TSM!A:Q,2,FALSE),"")</f>
        <v/>
      </c>
      <c r="M347" s="93">
        <f t="shared" si="4"/>
        <v>0</v>
      </c>
    </row>
    <row r="348">
      <c r="B348" s="173" t="str">
        <f>IFERROR(vlookup(A348,TSM!A:Q,8,FALSE),"")</f>
        <v/>
      </c>
      <c r="F348" s="93">
        <f t="shared" si="2"/>
        <v>0</v>
      </c>
      <c r="I348" s="173" t="str">
        <f>IFERROR(vlookup(A347,TSM!A:Q,2,FALSE),"")</f>
        <v/>
      </c>
      <c r="M348" s="93">
        <f t="shared" si="4"/>
        <v>0</v>
      </c>
    </row>
    <row r="349">
      <c r="B349" s="173" t="str">
        <f>IFERROR(vlookup(A349,TSM!A:Q,8,FALSE),"")</f>
        <v/>
      </c>
      <c r="F349" s="93">
        <f t="shared" si="2"/>
        <v>0</v>
      </c>
      <c r="I349" s="173" t="str">
        <f>IFERROR(vlookup(A348,TSM!A:Q,2,FALSE),"")</f>
        <v/>
      </c>
      <c r="M349" s="93">
        <f t="shared" si="4"/>
        <v>0</v>
      </c>
    </row>
    <row r="350">
      <c r="B350" s="173" t="str">
        <f>IFERROR(vlookup(A350,TSM!A:Q,8,FALSE),"")</f>
        <v/>
      </c>
      <c r="F350" s="93">
        <f t="shared" si="2"/>
        <v>0</v>
      </c>
      <c r="I350" s="173" t="str">
        <f>IFERROR(vlookup(A349,TSM!A:Q,2,FALSE),"")</f>
        <v/>
      </c>
      <c r="M350" s="93">
        <f t="shared" si="4"/>
        <v>0</v>
      </c>
    </row>
    <row r="351">
      <c r="B351" s="173" t="str">
        <f>IFERROR(vlookup(A351,TSM!A:Q,8,FALSE),"")</f>
        <v/>
      </c>
      <c r="F351" s="93">
        <f t="shared" si="2"/>
        <v>0</v>
      </c>
      <c r="I351" s="173" t="str">
        <f>IFERROR(vlookup(A350,TSM!A:Q,2,FALSE),"")</f>
        <v/>
      </c>
      <c r="M351" s="93">
        <f t="shared" si="4"/>
        <v>0</v>
      </c>
    </row>
    <row r="352">
      <c r="B352" s="173" t="str">
        <f>IFERROR(vlookup(A352,TSM!A:Q,8,FALSE),"")</f>
        <v/>
      </c>
      <c r="F352" s="93">
        <f t="shared" si="2"/>
        <v>0</v>
      </c>
      <c r="I352" s="173" t="str">
        <f>IFERROR(vlookup(A351,TSM!A:Q,2,FALSE),"")</f>
        <v/>
      </c>
      <c r="M352" s="93">
        <f t="shared" si="4"/>
        <v>0</v>
      </c>
    </row>
    <row r="353">
      <c r="B353" s="173" t="str">
        <f>IFERROR(vlookup(A353,TSM!A:Q,8,FALSE),"")</f>
        <v/>
      </c>
      <c r="F353" s="93">
        <f t="shared" si="2"/>
        <v>0</v>
      </c>
      <c r="I353" s="173" t="str">
        <f>IFERROR(vlookup(A352,TSM!A:Q,2,FALSE),"")</f>
        <v/>
      </c>
      <c r="M353" s="93">
        <f t="shared" si="4"/>
        <v>0</v>
      </c>
    </row>
    <row r="354">
      <c r="B354" s="173" t="str">
        <f>IFERROR(vlookup(A354,TSM!A:Q,8,FALSE),"")</f>
        <v/>
      </c>
      <c r="F354" s="93">
        <f t="shared" si="2"/>
        <v>0</v>
      </c>
      <c r="I354" s="173" t="str">
        <f>IFERROR(vlookup(A353,TSM!A:Q,2,FALSE),"")</f>
        <v/>
      </c>
      <c r="M354" s="93">
        <f t="shared" si="4"/>
        <v>0</v>
      </c>
    </row>
    <row r="355">
      <c r="B355" s="173" t="str">
        <f>IFERROR(vlookup(A355,TSM!A:Q,8,FALSE),"")</f>
        <v/>
      </c>
      <c r="F355" s="93">
        <f t="shared" si="2"/>
        <v>0</v>
      </c>
      <c r="I355" s="173" t="str">
        <f>IFERROR(vlookup(A354,TSM!A:Q,2,FALSE),"")</f>
        <v/>
      </c>
      <c r="M355" s="93">
        <f t="shared" si="4"/>
        <v>0</v>
      </c>
    </row>
    <row r="356">
      <c r="B356" s="173" t="str">
        <f>IFERROR(vlookup(A356,TSM!A:Q,8,FALSE),"")</f>
        <v/>
      </c>
      <c r="F356" s="93">
        <f t="shared" si="2"/>
        <v>0</v>
      </c>
      <c r="I356" s="173" t="str">
        <f>IFERROR(vlookup(A355,TSM!A:Q,2,FALSE),"")</f>
        <v/>
      </c>
      <c r="M356" s="93">
        <f t="shared" si="4"/>
        <v>0</v>
      </c>
    </row>
    <row r="357">
      <c r="B357" s="173" t="str">
        <f>IFERROR(vlookup(A357,TSM!A:Q,8,FALSE),"")</f>
        <v/>
      </c>
      <c r="F357" s="93">
        <f t="shared" si="2"/>
        <v>0</v>
      </c>
      <c r="I357" s="173" t="str">
        <f>IFERROR(vlookup(A356,TSM!A:Q,2,FALSE),"")</f>
        <v/>
      </c>
      <c r="M357" s="93">
        <f t="shared" si="4"/>
        <v>0</v>
      </c>
    </row>
    <row r="358">
      <c r="B358" s="173" t="str">
        <f>IFERROR(vlookup(A358,TSM!A:Q,8,FALSE),"")</f>
        <v/>
      </c>
      <c r="F358" s="93">
        <f t="shared" si="2"/>
        <v>0</v>
      </c>
      <c r="I358" s="173" t="str">
        <f>IFERROR(vlookup(A357,TSM!A:Q,2,FALSE),"")</f>
        <v/>
      </c>
      <c r="M358" s="93">
        <f t="shared" si="4"/>
        <v>0</v>
      </c>
    </row>
    <row r="359">
      <c r="B359" s="173" t="str">
        <f>IFERROR(vlookup(A359,TSM!A:Q,8,FALSE),"")</f>
        <v/>
      </c>
      <c r="F359" s="93">
        <f t="shared" si="2"/>
        <v>0</v>
      </c>
      <c r="I359" s="173" t="str">
        <f>IFERROR(vlookup(A358,TSM!A:Q,2,FALSE),"")</f>
        <v/>
      </c>
      <c r="M359" s="93">
        <f t="shared" si="4"/>
        <v>0</v>
      </c>
    </row>
    <row r="360">
      <c r="B360" s="173" t="str">
        <f>IFERROR(vlookup(A360,TSM!A:Q,8,FALSE),"")</f>
        <v/>
      </c>
      <c r="F360" s="93">
        <f t="shared" si="2"/>
        <v>0</v>
      </c>
      <c r="I360" s="173" t="str">
        <f>IFERROR(vlookup(A359,TSM!A:Q,2,FALSE),"")</f>
        <v/>
      </c>
      <c r="M360" s="93">
        <f t="shared" si="4"/>
        <v>0</v>
      </c>
    </row>
    <row r="361">
      <c r="B361" s="173" t="str">
        <f>IFERROR(vlookup(A361,TSM!A:Q,8,FALSE),"")</f>
        <v/>
      </c>
      <c r="F361" s="93">
        <f t="shared" si="2"/>
        <v>0</v>
      </c>
      <c r="I361" s="173" t="str">
        <f>IFERROR(vlookup(A360,TSM!A:Q,2,FALSE),"")</f>
        <v/>
      </c>
      <c r="M361" s="93">
        <f t="shared" si="4"/>
        <v>0</v>
      </c>
    </row>
    <row r="362">
      <c r="B362" s="173" t="str">
        <f>IFERROR(vlookup(A362,TSM!A:Q,8,FALSE),"")</f>
        <v/>
      </c>
      <c r="F362" s="93">
        <f t="shared" si="2"/>
        <v>0</v>
      </c>
      <c r="I362" s="173" t="str">
        <f>IFERROR(vlookup(A361,TSM!A:Q,2,FALSE),"")</f>
        <v/>
      </c>
      <c r="M362" s="93">
        <f t="shared" si="4"/>
        <v>0</v>
      </c>
    </row>
    <row r="363">
      <c r="B363" s="173" t="str">
        <f>IFERROR(vlookup(A363,TSM!A:Q,8,FALSE),"")</f>
        <v/>
      </c>
      <c r="F363" s="93">
        <f t="shared" si="2"/>
        <v>0</v>
      </c>
      <c r="I363" s="173" t="str">
        <f>IFERROR(vlookup(A362,TSM!A:Q,2,FALSE),"")</f>
        <v/>
      </c>
      <c r="M363" s="93">
        <f t="shared" si="4"/>
        <v>0</v>
      </c>
    </row>
    <row r="364">
      <c r="B364" s="173" t="str">
        <f>IFERROR(vlookup(A364,TSM!A:Q,8,FALSE),"")</f>
        <v/>
      </c>
      <c r="F364" s="93">
        <f t="shared" si="2"/>
        <v>0</v>
      </c>
      <c r="I364" s="173" t="str">
        <f>IFERROR(vlookup(A363,TSM!A:Q,2,FALSE),"")</f>
        <v/>
      </c>
      <c r="M364" s="93">
        <f t="shared" si="4"/>
        <v>0</v>
      </c>
    </row>
    <row r="365">
      <c r="B365" s="173" t="str">
        <f>IFERROR(vlookup(A365,TSM!A:Q,8,FALSE),"")</f>
        <v/>
      </c>
      <c r="F365" s="93">
        <f t="shared" si="2"/>
        <v>0</v>
      </c>
      <c r="I365" s="173" t="str">
        <f>IFERROR(vlookup(A364,TSM!A:Q,2,FALSE),"")</f>
        <v/>
      </c>
      <c r="M365" s="93">
        <f t="shared" si="4"/>
        <v>0</v>
      </c>
    </row>
    <row r="366">
      <c r="B366" s="173" t="str">
        <f>IFERROR(vlookup(A366,TSM!A:Q,8,FALSE),"")</f>
        <v/>
      </c>
      <c r="F366" s="93">
        <f t="shared" si="2"/>
        <v>0</v>
      </c>
      <c r="I366" s="173" t="str">
        <f>IFERROR(vlookup(A365,TSM!A:Q,2,FALSE),"")</f>
        <v/>
      </c>
      <c r="M366" s="93">
        <f t="shared" si="4"/>
        <v>0</v>
      </c>
    </row>
    <row r="367">
      <c r="B367" s="173" t="str">
        <f>IFERROR(vlookup(A367,TSM!A:Q,8,FALSE),"")</f>
        <v/>
      </c>
      <c r="F367" s="93">
        <f t="shared" si="2"/>
        <v>0</v>
      </c>
      <c r="I367" s="173" t="str">
        <f>IFERROR(vlookup(A366,TSM!A:Q,2,FALSE),"")</f>
        <v/>
      </c>
      <c r="M367" s="93">
        <f t="shared" si="4"/>
        <v>0</v>
      </c>
    </row>
    <row r="368">
      <c r="B368" s="173" t="str">
        <f>IFERROR(vlookup(A368,TSM!A:Q,8,FALSE),"")</f>
        <v/>
      </c>
      <c r="F368" s="93">
        <f t="shared" si="2"/>
        <v>0</v>
      </c>
      <c r="I368" s="173" t="str">
        <f>IFERROR(vlookup(A367,TSM!A:Q,2,FALSE),"")</f>
        <v/>
      </c>
      <c r="M368" s="93">
        <f t="shared" si="4"/>
        <v>0</v>
      </c>
    </row>
    <row r="369">
      <c r="B369" s="173" t="str">
        <f>IFERROR(vlookup(A369,TSM!A:Q,8,FALSE),"")</f>
        <v/>
      </c>
      <c r="F369" s="93">
        <f t="shared" si="2"/>
        <v>0</v>
      </c>
      <c r="I369" s="173" t="str">
        <f>IFERROR(vlookup(A368,TSM!A:Q,2,FALSE),"")</f>
        <v/>
      </c>
      <c r="M369" s="93">
        <f t="shared" si="4"/>
        <v>0</v>
      </c>
    </row>
    <row r="370">
      <c r="B370" s="173" t="str">
        <f>IFERROR(vlookup(A370,TSM!A:Q,8,FALSE),"")</f>
        <v/>
      </c>
      <c r="F370" s="93">
        <f t="shared" si="2"/>
        <v>0</v>
      </c>
      <c r="I370" s="173" t="str">
        <f>IFERROR(vlookup(A369,TSM!A:Q,2,FALSE),"")</f>
        <v/>
      </c>
      <c r="M370" s="93">
        <f t="shared" si="4"/>
        <v>0</v>
      </c>
    </row>
    <row r="371">
      <c r="B371" s="173" t="str">
        <f>IFERROR(vlookup(A371,TSM!A:Q,8,FALSE),"")</f>
        <v/>
      </c>
      <c r="F371" s="93">
        <f t="shared" si="2"/>
        <v>0</v>
      </c>
      <c r="I371" s="173" t="str">
        <f>IFERROR(vlookup(A370,TSM!A:Q,2,FALSE),"")</f>
        <v/>
      </c>
      <c r="M371" s="93">
        <f t="shared" si="4"/>
        <v>0</v>
      </c>
    </row>
    <row r="372">
      <c r="B372" s="173" t="str">
        <f>IFERROR(vlookup(A372,TSM!A:Q,8,FALSE),"")</f>
        <v/>
      </c>
      <c r="F372" s="93">
        <f t="shared" si="2"/>
        <v>0</v>
      </c>
      <c r="I372" s="173" t="str">
        <f>IFERROR(vlookup(A371,TSM!A:Q,2,FALSE),"")</f>
        <v/>
      </c>
      <c r="M372" s="93">
        <f t="shared" si="4"/>
        <v>0</v>
      </c>
    </row>
    <row r="373">
      <c r="B373" s="173" t="str">
        <f>IFERROR(vlookup(A373,TSM!A:Q,8,FALSE),"")</f>
        <v/>
      </c>
      <c r="F373" s="93">
        <f t="shared" si="2"/>
        <v>0</v>
      </c>
      <c r="I373" s="173" t="str">
        <f>IFERROR(vlookup(A372,TSM!A:Q,2,FALSE),"")</f>
        <v/>
      </c>
      <c r="M373" s="93">
        <f t="shared" si="4"/>
        <v>0</v>
      </c>
    </row>
    <row r="374">
      <c r="B374" s="173" t="str">
        <f>IFERROR(vlookup(A374,TSM!A:Q,8,FALSE),"")</f>
        <v/>
      </c>
      <c r="F374" s="93">
        <f t="shared" si="2"/>
        <v>0</v>
      </c>
      <c r="I374" s="173" t="str">
        <f>IFERROR(vlookup(A373,TSM!A:Q,2,FALSE),"")</f>
        <v/>
      </c>
      <c r="M374" s="93">
        <f t="shared" si="4"/>
        <v>0</v>
      </c>
    </row>
    <row r="375">
      <c r="B375" s="173" t="str">
        <f>IFERROR(vlookup(A375,TSM!A:Q,8,FALSE),"")</f>
        <v/>
      </c>
      <c r="F375" s="93">
        <f t="shared" si="2"/>
        <v>0</v>
      </c>
      <c r="I375" s="173" t="str">
        <f>IFERROR(vlookup(A374,TSM!A:Q,2,FALSE),"")</f>
        <v/>
      </c>
      <c r="M375" s="93">
        <f t="shared" si="4"/>
        <v>0</v>
      </c>
    </row>
    <row r="376">
      <c r="B376" s="173" t="str">
        <f>IFERROR(vlookup(A376,TSM!A:Q,8,FALSE),"")</f>
        <v/>
      </c>
      <c r="F376" s="93">
        <f t="shared" si="2"/>
        <v>0</v>
      </c>
      <c r="I376" s="173" t="str">
        <f>IFERROR(vlookup(A375,TSM!A:Q,2,FALSE),"")</f>
        <v/>
      </c>
      <c r="M376" s="93">
        <f t="shared" si="4"/>
        <v>0</v>
      </c>
    </row>
    <row r="377">
      <c r="B377" s="173" t="str">
        <f>IFERROR(vlookup(A377,TSM!A:Q,8,FALSE),"")</f>
        <v/>
      </c>
      <c r="F377" s="93">
        <f t="shared" si="2"/>
        <v>0</v>
      </c>
      <c r="I377" s="173" t="str">
        <f>IFERROR(vlookup(A376,TSM!A:Q,2,FALSE),"")</f>
        <v/>
      </c>
      <c r="M377" s="93">
        <f t="shared" si="4"/>
        <v>0</v>
      </c>
    </row>
    <row r="378">
      <c r="B378" s="173" t="str">
        <f>IFERROR(vlookup(A378,TSM!A:Q,8,FALSE),"")</f>
        <v/>
      </c>
      <c r="F378" s="93">
        <f t="shared" si="2"/>
        <v>0</v>
      </c>
      <c r="I378" s="173" t="str">
        <f>IFERROR(vlookup(A377,TSM!A:Q,2,FALSE),"")</f>
        <v/>
      </c>
      <c r="M378" s="93">
        <f t="shared" si="4"/>
        <v>0</v>
      </c>
    </row>
    <row r="379">
      <c r="B379" s="173" t="str">
        <f>IFERROR(vlookup(A379,TSM!A:Q,8,FALSE),"")</f>
        <v/>
      </c>
      <c r="F379" s="93">
        <f t="shared" si="2"/>
        <v>0</v>
      </c>
      <c r="I379" s="173" t="str">
        <f>IFERROR(vlookup(A378,TSM!A:Q,2,FALSE),"")</f>
        <v/>
      </c>
      <c r="M379" s="93">
        <f t="shared" si="4"/>
        <v>0</v>
      </c>
    </row>
    <row r="380">
      <c r="B380" s="173" t="str">
        <f>IFERROR(vlookup(A380,TSM!A:Q,8,FALSE),"")</f>
        <v/>
      </c>
      <c r="F380" s="93">
        <f t="shared" si="2"/>
        <v>0</v>
      </c>
      <c r="I380" s="173" t="str">
        <f>IFERROR(vlookup(A379,TSM!A:Q,2,FALSE),"")</f>
        <v/>
      </c>
      <c r="M380" s="93">
        <f t="shared" si="4"/>
        <v>0</v>
      </c>
    </row>
    <row r="381">
      <c r="B381" s="173" t="str">
        <f>IFERROR(vlookup(A381,TSM!A:Q,8,FALSE),"")</f>
        <v/>
      </c>
      <c r="F381" s="93">
        <f t="shared" si="2"/>
        <v>0</v>
      </c>
      <c r="I381" s="173" t="str">
        <f>IFERROR(vlookup(A380,TSM!A:Q,2,FALSE),"")</f>
        <v/>
      </c>
      <c r="M381" s="93">
        <f t="shared" si="4"/>
        <v>0</v>
      </c>
    </row>
    <row r="382">
      <c r="B382" s="173" t="str">
        <f>IFERROR(vlookup(A382,TSM!A:Q,8,FALSE),"")</f>
        <v/>
      </c>
      <c r="F382" s="93">
        <f t="shared" si="2"/>
        <v>0</v>
      </c>
      <c r="I382" s="173" t="str">
        <f>IFERROR(vlookup(A381,TSM!A:Q,2,FALSE),"")</f>
        <v/>
      </c>
      <c r="M382" s="93">
        <f t="shared" si="4"/>
        <v>0</v>
      </c>
    </row>
    <row r="383">
      <c r="B383" s="173" t="str">
        <f>IFERROR(vlookup(A383,TSM!A:Q,8,FALSE),"")</f>
        <v/>
      </c>
      <c r="F383" s="93">
        <f t="shared" si="2"/>
        <v>0</v>
      </c>
      <c r="I383" s="173" t="str">
        <f>IFERROR(vlookup(A382,TSM!A:Q,2,FALSE),"")</f>
        <v/>
      </c>
      <c r="M383" s="93">
        <f t="shared" si="4"/>
        <v>0</v>
      </c>
    </row>
    <row r="384">
      <c r="B384" s="173" t="str">
        <f>IFERROR(vlookup(A384,TSM!A:Q,8,FALSE),"")</f>
        <v/>
      </c>
      <c r="F384" s="93">
        <f t="shared" si="2"/>
        <v>0</v>
      </c>
      <c r="I384" s="173" t="str">
        <f>IFERROR(vlookup(A383,TSM!A:Q,2,FALSE),"")</f>
        <v/>
      </c>
      <c r="M384" s="93">
        <f t="shared" si="4"/>
        <v>0</v>
      </c>
    </row>
    <row r="385">
      <c r="B385" s="173" t="str">
        <f>IFERROR(vlookup(A385,TSM!A:Q,8,FALSE),"")</f>
        <v/>
      </c>
      <c r="F385" s="93">
        <f t="shared" si="2"/>
        <v>0</v>
      </c>
      <c r="I385" s="173" t="str">
        <f>IFERROR(vlookup(A384,TSM!A:Q,2,FALSE),"")</f>
        <v/>
      </c>
      <c r="M385" s="93">
        <f t="shared" si="4"/>
        <v>0</v>
      </c>
    </row>
    <row r="386">
      <c r="B386" s="173" t="str">
        <f>IFERROR(vlookup(A386,TSM!A:Q,8,FALSE),"")</f>
        <v/>
      </c>
      <c r="F386" s="93">
        <f t="shared" si="2"/>
        <v>0</v>
      </c>
      <c r="I386" s="173" t="str">
        <f>IFERROR(vlookup(A385,TSM!A:Q,2,FALSE),"")</f>
        <v/>
      </c>
      <c r="M386" s="93">
        <f t="shared" si="4"/>
        <v>0</v>
      </c>
    </row>
    <row r="387">
      <c r="B387" s="173" t="str">
        <f>IFERROR(vlookup(A387,TSM!A:Q,8,FALSE),"")</f>
        <v/>
      </c>
      <c r="F387" s="93">
        <f t="shared" si="2"/>
        <v>0</v>
      </c>
      <c r="I387" s="173" t="str">
        <f>IFERROR(vlookup(A386,TSM!A:Q,2,FALSE),"")</f>
        <v/>
      </c>
      <c r="M387" s="93">
        <f t="shared" si="4"/>
        <v>0</v>
      </c>
    </row>
    <row r="388">
      <c r="B388" s="173" t="str">
        <f>IFERROR(vlookup(A388,TSM!A:Q,8,FALSE),"")</f>
        <v/>
      </c>
      <c r="F388" s="93">
        <f t="shared" si="2"/>
        <v>0</v>
      </c>
      <c r="I388" s="173" t="str">
        <f>IFERROR(vlookup(A387,TSM!A:Q,2,FALSE),"")</f>
        <v/>
      </c>
      <c r="M388" s="93">
        <f t="shared" si="4"/>
        <v>0</v>
      </c>
    </row>
    <row r="389">
      <c r="B389" s="173" t="str">
        <f>IFERROR(vlookup(A389,TSM!A:Q,8,FALSE),"")</f>
        <v/>
      </c>
      <c r="F389" s="93">
        <f t="shared" si="2"/>
        <v>0</v>
      </c>
      <c r="I389" s="173" t="str">
        <f>IFERROR(vlookup(A388,TSM!A:Q,2,FALSE),"")</f>
        <v/>
      </c>
      <c r="M389" s="93">
        <f t="shared" si="4"/>
        <v>0</v>
      </c>
    </row>
    <row r="390">
      <c r="B390" s="173" t="str">
        <f>IFERROR(vlookup(A390,TSM!A:Q,8,FALSE),"")</f>
        <v/>
      </c>
      <c r="F390" s="93">
        <f t="shared" si="2"/>
        <v>0</v>
      </c>
      <c r="I390" s="173" t="str">
        <f>IFERROR(vlookup(A389,TSM!A:Q,2,FALSE),"")</f>
        <v/>
      </c>
      <c r="M390" s="93">
        <f t="shared" si="4"/>
        <v>0</v>
      </c>
    </row>
    <row r="391">
      <c r="B391" s="173" t="str">
        <f>IFERROR(vlookup(A391,TSM!A:Q,8,FALSE),"")</f>
        <v/>
      </c>
      <c r="F391" s="93">
        <f t="shared" si="2"/>
        <v>0</v>
      </c>
      <c r="I391" s="173" t="str">
        <f>IFERROR(vlookup(A390,TSM!A:Q,2,FALSE),"")</f>
        <v/>
      </c>
      <c r="M391" s="93">
        <f t="shared" si="4"/>
        <v>0</v>
      </c>
    </row>
    <row r="392">
      <c r="B392" s="173" t="str">
        <f>IFERROR(vlookup(A392,TSM!A:Q,8,FALSE),"")</f>
        <v/>
      </c>
      <c r="F392" s="93">
        <f t="shared" si="2"/>
        <v>0</v>
      </c>
      <c r="I392" s="173" t="str">
        <f>IFERROR(vlookup(A391,TSM!A:Q,2,FALSE),"")</f>
        <v/>
      </c>
      <c r="M392" s="93">
        <f t="shared" si="4"/>
        <v>0</v>
      </c>
    </row>
    <row r="393">
      <c r="B393" s="173" t="str">
        <f>IFERROR(vlookup(A393,TSM!A:Q,8,FALSE),"")</f>
        <v/>
      </c>
      <c r="F393" s="93">
        <f t="shared" si="2"/>
        <v>0</v>
      </c>
      <c r="I393" s="173" t="str">
        <f>IFERROR(vlookup(A392,TSM!A:Q,2,FALSE),"")</f>
        <v/>
      </c>
      <c r="M393" s="93">
        <f t="shared" si="4"/>
        <v>0</v>
      </c>
    </row>
    <row r="394">
      <c r="B394" s="173" t="str">
        <f>IFERROR(vlookup(A394,TSM!A:Q,8,FALSE),"")</f>
        <v/>
      </c>
      <c r="F394" s="93">
        <f t="shared" si="2"/>
        <v>0</v>
      </c>
      <c r="I394" s="173" t="str">
        <f>IFERROR(vlookup(A393,TSM!A:Q,2,FALSE),"")</f>
        <v/>
      </c>
      <c r="M394" s="93">
        <f t="shared" si="4"/>
        <v>0</v>
      </c>
    </row>
    <row r="395">
      <c r="B395" s="173" t="str">
        <f>IFERROR(vlookup(A395,TSM!A:Q,8,FALSE),"")</f>
        <v/>
      </c>
      <c r="F395" s="93">
        <f t="shared" si="2"/>
        <v>0</v>
      </c>
      <c r="I395" s="173" t="str">
        <f>IFERROR(vlookup(A394,TSM!A:Q,2,FALSE),"")</f>
        <v/>
      </c>
      <c r="M395" s="93">
        <f t="shared" si="4"/>
        <v>0</v>
      </c>
    </row>
    <row r="396">
      <c r="B396" s="173" t="str">
        <f>IFERROR(vlookup(A396,TSM!A:Q,8,FALSE),"")</f>
        <v/>
      </c>
      <c r="F396" s="93">
        <f t="shared" si="2"/>
        <v>0</v>
      </c>
      <c r="I396" s="173" t="str">
        <f>IFERROR(vlookup(A395,TSM!A:Q,2,FALSE),"")</f>
        <v/>
      </c>
      <c r="M396" s="93">
        <f t="shared" si="4"/>
        <v>0</v>
      </c>
    </row>
    <row r="397">
      <c r="B397" s="173" t="str">
        <f>IFERROR(vlookup(A397,TSM!A:Q,8,FALSE),"")</f>
        <v/>
      </c>
      <c r="F397" s="93">
        <f t="shared" si="2"/>
        <v>0</v>
      </c>
      <c r="I397" s="173" t="str">
        <f>IFERROR(vlookup(A396,TSM!A:Q,2,FALSE),"")</f>
        <v/>
      </c>
      <c r="M397" s="93">
        <f t="shared" si="4"/>
        <v>0</v>
      </c>
    </row>
    <row r="398">
      <c r="B398" s="173" t="str">
        <f>IFERROR(vlookup(A398,TSM!A:Q,8,FALSE),"")</f>
        <v/>
      </c>
      <c r="F398" s="93">
        <f t="shared" si="2"/>
        <v>0</v>
      </c>
      <c r="I398" s="173" t="str">
        <f>IFERROR(vlookup(A397,TSM!A:Q,2,FALSE),"")</f>
        <v/>
      </c>
      <c r="M398" s="93">
        <f t="shared" si="4"/>
        <v>0</v>
      </c>
    </row>
    <row r="399">
      <c r="B399" s="173" t="str">
        <f>IFERROR(vlookup(A399,TSM!A:Q,8,FALSE),"")</f>
        <v/>
      </c>
      <c r="F399" s="93">
        <f t="shared" si="2"/>
        <v>0</v>
      </c>
      <c r="I399" s="173" t="str">
        <f>IFERROR(vlookup(A398,TSM!A:Q,2,FALSE),"")</f>
        <v/>
      </c>
      <c r="M399" s="93">
        <f t="shared" si="4"/>
        <v>0</v>
      </c>
    </row>
    <row r="400">
      <c r="B400" s="173" t="str">
        <f>IFERROR(vlookup(A400,TSM!A:Q,8,FALSE),"")</f>
        <v/>
      </c>
      <c r="F400" s="93">
        <f t="shared" si="2"/>
        <v>0</v>
      </c>
      <c r="I400" s="173" t="str">
        <f>IFERROR(vlookup(A399,TSM!A:Q,2,FALSE),"")</f>
        <v/>
      </c>
      <c r="M400" s="93">
        <f t="shared" si="4"/>
        <v>0</v>
      </c>
    </row>
    <row r="401">
      <c r="B401" s="173" t="str">
        <f>IFERROR(vlookup(A401,TSM!A:Q,8,FALSE),"")</f>
        <v/>
      </c>
      <c r="F401" s="93">
        <f t="shared" si="2"/>
        <v>0</v>
      </c>
      <c r="I401" s="173" t="str">
        <f>IFERROR(vlookup(A400,TSM!A:Q,2,FALSE),"")</f>
        <v/>
      </c>
      <c r="M401" s="93">
        <f t="shared" si="4"/>
        <v>0</v>
      </c>
    </row>
    <row r="402">
      <c r="B402" s="173" t="str">
        <f>IFERROR(vlookup(A402,TSM!A:Q,8,FALSE),"")</f>
        <v/>
      </c>
      <c r="F402" s="93">
        <f t="shared" si="2"/>
        <v>0</v>
      </c>
      <c r="I402" s="173" t="str">
        <f>IFERROR(vlookup(A401,TSM!A:Q,2,FALSE),"")</f>
        <v/>
      </c>
      <c r="M402" s="93">
        <f t="shared" si="4"/>
        <v>0</v>
      </c>
    </row>
    <row r="403">
      <c r="B403" s="173" t="str">
        <f>IFERROR(vlookup(A403,TSM!A:Q,8,FALSE),"")</f>
        <v/>
      </c>
      <c r="F403" s="93">
        <f t="shared" si="2"/>
        <v>0</v>
      </c>
      <c r="I403" s="173" t="str">
        <f>IFERROR(vlookup(A402,TSM!A:Q,2,FALSE),"")</f>
        <v/>
      </c>
      <c r="M403" s="93">
        <f t="shared" si="4"/>
        <v>0</v>
      </c>
    </row>
    <row r="404">
      <c r="B404" s="173" t="str">
        <f>IFERROR(vlookup(A404,TSM!A:Q,8,FALSE),"")</f>
        <v/>
      </c>
      <c r="F404" s="93">
        <f t="shared" si="2"/>
        <v>0</v>
      </c>
      <c r="I404" s="173" t="str">
        <f>IFERROR(vlookup(A403,TSM!A:Q,2,FALSE),"")</f>
        <v/>
      </c>
      <c r="M404" s="93">
        <f t="shared" si="4"/>
        <v>0</v>
      </c>
    </row>
    <row r="405">
      <c r="B405" s="173" t="str">
        <f>IFERROR(vlookup(A405,TSM!A:Q,8,FALSE),"")</f>
        <v/>
      </c>
      <c r="F405" s="93">
        <f t="shared" si="2"/>
        <v>0</v>
      </c>
      <c r="I405" s="173" t="str">
        <f>IFERROR(vlookup(A404,TSM!A:Q,2,FALSE),"")</f>
        <v/>
      </c>
      <c r="M405" s="93">
        <f t="shared" si="4"/>
        <v>0</v>
      </c>
    </row>
    <row r="406">
      <c r="B406" s="173" t="str">
        <f>IFERROR(vlookup(A406,TSM!A:Q,8,FALSE),"")</f>
        <v/>
      </c>
      <c r="F406" s="93">
        <f t="shared" si="2"/>
        <v>0</v>
      </c>
      <c r="I406" s="173" t="str">
        <f>IFERROR(vlookup(A405,TSM!A:Q,2,FALSE),"")</f>
        <v/>
      </c>
      <c r="M406" s="93">
        <f t="shared" si="4"/>
        <v>0</v>
      </c>
    </row>
    <row r="407">
      <c r="B407" s="173" t="str">
        <f>IFERROR(vlookup(A407,TSM!A:Q,8,FALSE),"")</f>
        <v/>
      </c>
      <c r="F407" s="93">
        <f t="shared" si="2"/>
        <v>0</v>
      </c>
      <c r="I407" s="173" t="str">
        <f>IFERROR(vlookup(A406,TSM!A:Q,2,FALSE),"")</f>
        <v/>
      </c>
      <c r="M407" s="93">
        <f t="shared" si="4"/>
        <v>0</v>
      </c>
    </row>
    <row r="408">
      <c r="B408" s="173" t="str">
        <f>IFERROR(vlookup(A408,TSM!A:Q,8,FALSE),"")</f>
        <v/>
      </c>
      <c r="F408" s="93">
        <f t="shared" si="2"/>
        <v>0</v>
      </c>
      <c r="I408" s="173" t="str">
        <f>IFERROR(vlookup(A407,TSM!A:Q,2,FALSE),"")</f>
        <v/>
      </c>
      <c r="M408" s="93">
        <f t="shared" si="4"/>
        <v>0</v>
      </c>
    </row>
    <row r="409">
      <c r="B409" s="173" t="str">
        <f>IFERROR(vlookup(A409,TSM!A:Q,8,FALSE),"")</f>
        <v/>
      </c>
      <c r="F409" s="93">
        <f t="shared" si="2"/>
        <v>0</v>
      </c>
      <c r="I409" s="173" t="str">
        <f>IFERROR(vlookup(A408,TSM!A:Q,2,FALSE),"")</f>
        <v/>
      </c>
      <c r="M409" s="93">
        <f t="shared" si="4"/>
        <v>0</v>
      </c>
    </row>
    <row r="410">
      <c r="B410" s="173" t="str">
        <f>IFERROR(vlookup(A410,TSM!A:Q,8,FALSE),"")</f>
        <v/>
      </c>
      <c r="F410" s="93">
        <f t="shared" si="2"/>
        <v>0</v>
      </c>
      <c r="I410" s="173" t="str">
        <f>IFERROR(vlookup(A409,TSM!A:Q,2,FALSE),"")</f>
        <v/>
      </c>
      <c r="M410" s="93">
        <f t="shared" si="4"/>
        <v>0</v>
      </c>
    </row>
    <row r="411">
      <c r="B411" s="173" t="str">
        <f>IFERROR(vlookup(A411,TSM!A:Q,8,FALSE),"")</f>
        <v/>
      </c>
      <c r="F411" s="93">
        <f t="shared" si="2"/>
        <v>0</v>
      </c>
      <c r="I411" s="173" t="str">
        <f>IFERROR(vlookup(A410,TSM!A:Q,2,FALSE),"")</f>
        <v/>
      </c>
      <c r="M411" s="93">
        <f t="shared" si="4"/>
        <v>0</v>
      </c>
    </row>
    <row r="412">
      <c r="B412" s="173" t="str">
        <f>IFERROR(vlookup(A412,TSM!A:Q,8,FALSE),"")</f>
        <v/>
      </c>
      <c r="F412" s="93">
        <f t="shared" si="2"/>
        <v>0</v>
      </c>
      <c r="I412" s="173" t="str">
        <f>IFERROR(vlookup(A411,TSM!A:Q,2,FALSE),"")</f>
        <v/>
      </c>
      <c r="M412" s="93">
        <f t="shared" si="4"/>
        <v>0</v>
      </c>
    </row>
    <row r="413">
      <c r="B413" s="173" t="str">
        <f>IFERROR(vlookup(A413,TSM!A:Q,8,FALSE),"")</f>
        <v/>
      </c>
      <c r="F413" s="93">
        <f t="shared" si="2"/>
        <v>0</v>
      </c>
      <c r="I413" s="173" t="str">
        <f>IFERROR(vlookup(A412,TSM!A:Q,2,FALSE),"")</f>
        <v/>
      </c>
      <c r="M413" s="93">
        <f t="shared" si="4"/>
        <v>0</v>
      </c>
    </row>
    <row r="414">
      <c r="B414" s="173" t="str">
        <f>IFERROR(vlookup(A414,TSM!A:Q,8,FALSE),"")</f>
        <v/>
      </c>
      <c r="F414" s="93">
        <f t="shared" si="2"/>
        <v>0</v>
      </c>
      <c r="I414" s="173" t="str">
        <f>IFERROR(vlookup(A413,TSM!A:Q,2,FALSE),"")</f>
        <v/>
      </c>
      <c r="M414" s="93">
        <f t="shared" si="4"/>
        <v>0</v>
      </c>
    </row>
    <row r="415">
      <c r="B415" s="173" t="str">
        <f>IFERROR(vlookup(A415,TSM!A:Q,8,FALSE),"")</f>
        <v/>
      </c>
      <c r="F415" s="93">
        <f t="shared" si="2"/>
        <v>0</v>
      </c>
      <c r="I415" s="173" t="str">
        <f>IFERROR(vlookup(A414,TSM!A:Q,2,FALSE),"")</f>
        <v/>
      </c>
      <c r="M415" s="93">
        <f t="shared" si="4"/>
        <v>0</v>
      </c>
    </row>
    <row r="416">
      <c r="B416" s="173" t="str">
        <f>IFERROR(vlookup(A416,TSM!A:Q,8,FALSE),"")</f>
        <v/>
      </c>
      <c r="F416" s="93">
        <f t="shared" si="2"/>
        <v>0</v>
      </c>
      <c r="I416" s="173" t="str">
        <f>IFERROR(vlookup(A415,TSM!A:Q,2,FALSE),"")</f>
        <v/>
      </c>
      <c r="M416" s="93">
        <f t="shared" si="4"/>
        <v>0</v>
      </c>
    </row>
    <row r="417">
      <c r="B417" s="173" t="str">
        <f>IFERROR(vlookup(A417,TSM!A:Q,8,FALSE),"")</f>
        <v/>
      </c>
      <c r="F417" s="93">
        <f t="shared" si="2"/>
        <v>0</v>
      </c>
      <c r="I417" s="173" t="str">
        <f>IFERROR(vlookup(A416,TSM!A:Q,2,FALSE),"")</f>
        <v/>
      </c>
      <c r="M417" s="93">
        <f t="shared" si="4"/>
        <v>0</v>
      </c>
    </row>
    <row r="418">
      <c r="B418" s="173" t="str">
        <f>IFERROR(vlookup(A418,TSM!A:Q,8,FALSE),"")</f>
        <v/>
      </c>
      <c r="F418" s="93">
        <f t="shared" si="2"/>
        <v>0</v>
      </c>
      <c r="I418" s="173" t="str">
        <f>IFERROR(vlookup(A417,TSM!A:Q,2,FALSE),"")</f>
        <v/>
      </c>
      <c r="M418" s="93">
        <f t="shared" si="4"/>
        <v>0</v>
      </c>
    </row>
    <row r="419">
      <c r="B419" s="173" t="str">
        <f>IFERROR(vlookup(A419,TSM!A:Q,8,FALSE),"")</f>
        <v/>
      </c>
      <c r="F419" s="93">
        <f t="shared" si="2"/>
        <v>0</v>
      </c>
      <c r="I419" s="173" t="str">
        <f>IFERROR(vlookup(A418,TSM!A:Q,2,FALSE),"")</f>
        <v/>
      </c>
      <c r="M419" s="93">
        <f t="shared" si="4"/>
        <v>0</v>
      </c>
    </row>
    <row r="420">
      <c r="B420" s="173" t="str">
        <f>IFERROR(vlookup(A420,TSM!A:Q,8,FALSE),"")</f>
        <v/>
      </c>
      <c r="F420" s="93">
        <f t="shared" si="2"/>
        <v>0</v>
      </c>
      <c r="I420" s="173" t="str">
        <f>IFERROR(vlookup(A419,TSM!A:Q,2,FALSE),"")</f>
        <v/>
      </c>
      <c r="M420" s="93">
        <f t="shared" si="4"/>
        <v>0</v>
      </c>
    </row>
    <row r="421">
      <c r="B421" s="173" t="str">
        <f>IFERROR(vlookup(A421,TSM!A:Q,8,FALSE),"")</f>
        <v/>
      </c>
      <c r="F421" s="93">
        <f t="shared" si="2"/>
        <v>0</v>
      </c>
      <c r="I421" s="173" t="str">
        <f>IFERROR(vlookup(A420,TSM!A:Q,2,FALSE),"")</f>
        <v/>
      </c>
      <c r="M421" s="93">
        <f t="shared" si="4"/>
        <v>0</v>
      </c>
    </row>
    <row r="422">
      <c r="B422" s="173" t="str">
        <f>IFERROR(vlookup(A422,TSM!A:Q,8,FALSE),"")</f>
        <v/>
      </c>
      <c r="F422" s="93">
        <f t="shared" si="2"/>
        <v>0</v>
      </c>
      <c r="I422" s="173" t="str">
        <f>IFERROR(vlookup(A421,TSM!A:Q,2,FALSE),"")</f>
        <v/>
      </c>
      <c r="M422" s="93">
        <f t="shared" si="4"/>
        <v>0</v>
      </c>
    </row>
    <row r="423">
      <c r="B423" s="173" t="str">
        <f>IFERROR(vlookup(A423,TSM!A:Q,8,FALSE),"")</f>
        <v/>
      </c>
      <c r="F423" s="93">
        <f t="shared" si="2"/>
        <v>0</v>
      </c>
      <c r="I423" s="173" t="str">
        <f>IFERROR(vlookup(A422,TSM!A:Q,2,FALSE),"")</f>
        <v/>
      </c>
      <c r="M423" s="93">
        <f t="shared" si="4"/>
        <v>0</v>
      </c>
    </row>
    <row r="424">
      <c r="B424" s="173" t="str">
        <f>IFERROR(vlookup(A424,TSM!A:Q,8,FALSE),"")</f>
        <v/>
      </c>
      <c r="F424" s="93">
        <f t="shared" si="2"/>
        <v>0</v>
      </c>
      <c r="I424" s="173" t="str">
        <f>IFERROR(vlookup(A423,TSM!A:Q,2,FALSE),"")</f>
        <v/>
      </c>
      <c r="M424" s="93">
        <f t="shared" si="4"/>
        <v>0</v>
      </c>
    </row>
    <row r="425">
      <c r="B425" s="173" t="str">
        <f>IFERROR(vlookup(A425,TSM!A:Q,8,FALSE),"")</f>
        <v/>
      </c>
      <c r="F425" s="93">
        <f t="shared" si="2"/>
        <v>0</v>
      </c>
      <c r="I425" s="173" t="str">
        <f>IFERROR(vlookup(A424,TSM!A:Q,2,FALSE),"")</f>
        <v/>
      </c>
      <c r="M425" s="93">
        <f t="shared" si="4"/>
        <v>0</v>
      </c>
    </row>
    <row r="426">
      <c r="B426" s="173" t="str">
        <f>IFERROR(vlookup(A426,TSM!A:Q,8,FALSE),"")</f>
        <v/>
      </c>
      <c r="F426" s="93">
        <f t="shared" si="2"/>
        <v>0</v>
      </c>
      <c r="I426" s="173" t="str">
        <f>IFERROR(vlookup(A425,TSM!A:Q,2,FALSE),"")</f>
        <v/>
      </c>
      <c r="M426" s="93">
        <f t="shared" si="4"/>
        <v>0</v>
      </c>
    </row>
    <row r="427">
      <c r="B427" s="173" t="str">
        <f>IFERROR(vlookup(A427,TSM!A:Q,8,FALSE),"")</f>
        <v/>
      </c>
      <c r="F427" s="93">
        <f t="shared" si="2"/>
        <v>0</v>
      </c>
      <c r="I427" s="173" t="str">
        <f>IFERROR(vlookup(A426,TSM!A:Q,2,FALSE),"")</f>
        <v/>
      </c>
      <c r="M427" s="93">
        <f t="shared" si="4"/>
        <v>0</v>
      </c>
    </row>
    <row r="428">
      <c r="B428" s="173" t="str">
        <f>IFERROR(vlookup(A428,TSM!A:Q,8,FALSE),"")</f>
        <v/>
      </c>
      <c r="F428" s="93">
        <f t="shared" si="2"/>
        <v>0</v>
      </c>
      <c r="I428" s="173" t="str">
        <f>IFERROR(vlookup(A427,TSM!A:Q,2,FALSE),"")</f>
        <v/>
      </c>
      <c r="M428" s="93">
        <f t="shared" si="4"/>
        <v>0</v>
      </c>
    </row>
    <row r="429">
      <c r="B429" s="173" t="str">
        <f>IFERROR(vlookup(A429,TSM!A:Q,8,FALSE),"")</f>
        <v/>
      </c>
      <c r="F429" s="93">
        <f t="shared" si="2"/>
        <v>0</v>
      </c>
      <c r="I429" s="173" t="str">
        <f>IFERROR(vlookup(A428,TSM!A:Q,2,FALSE),"")</f>
        <v/>
      </c>
      <c r="M429" s="93">
        <f t="shared" si="4"/>
        <v>0</v>
      </c>
    </row>
    <row r="430">
      <c r="B430" s="173" t="str">
        <f>IFERROR(vlookup(A430,TSM!A:Q,8,FALSE),"")</f>
        <v/>
      </c>
      <c r="F430" s="93">
        <f t="shared" si="2"/>
        <v>0</v>
      </c>
      <c r="I430" s="173" t="str">
        <f>IFERROR(vlookup(A429,TSM!A:Q,2,FALSE),"")</f>
        <v/>
      </c>
      <c r="M430" s="93">
        <f t="shared" si="4"/>
        <v>0</v>
      </c>
    </row>
    <row r="431">
      <c r="B431" s="173" t="str">
        <f>IFERROR(vlookup(A431,TSM!A:Q,8,FALSE),"")</f>
        <v/>
      </c>
      <c r="F431" s="93">
        <f t="shared" si="2"/>
        <v>0</v>
      </c>
      <c r="I431" s="173" t="str">
        <f>IFERROR(vlookup(A430,TSM!A:Q,2,FALSE),"")</f>
        <v/>
      </c>
      <c r="M431" s="93">
        <f t="shared" si="4"/>
        <v>0</v>
      </c>
    </row>
    <row r="432">
      <c r="B432" s="173" t="str">
        <f>IFERROR(vlookup(A432,TSM!A:Q,8,FALSE),"")</f>
        <v/>
      </c>
      <c r="F432" s="93">
        <f t="shared" si="2"/>
        <v>0</v>
      </c>
      <c r="I432" s="173" t="str">
        <f>IFERROR(vlookup(A431,TSM!A:Q,2,FALSE),"")</f>
        <v/>
      </c>
      <c r="M432" s="93">
        <f t="shared" si="4"/>
        <v>0</v>
      </c>
    </row>
    <row r="433">
      <c r="B433" s="173" t="str">
        <f>IFERROR(vlookup(A433,TSM!A:Q,8,FALSE),"")</f>
        <v/>
      </c>
      <c r="F433" s="93">
        <f t="shared" si="2"/>
        <v>0</v>
      </c>
      <c r="I433" s="173" t="str">
        <f>IFERROR(vlookup(A432,TSM!A:Q,2,FALSE),"")</f>
        <v/>
      </c>
      <c r="M433" s="93">
        <f t="shared" si="4"/>
        <v>0</v>
      </c>
    </row>
    <row r="434">
      <c r="B434" s="173" t="str">
        <f>IFERROR(vlookup(A434,TSM!A:Q,8,FALSE),"")</f>
        <v/>
      </c>
      <c r="F434" s="93">
        <f t="shared" si="2"/>
        <v>0</v>
      </c>
      <c r="I434" s="173" t="str">
        <f>IFERROR(vlookup(A433,TSM!A:Q,2,FALSE),"")</f>
        <v/>
      </c>
      <c r="M434" s="93">
        <f t="shared" si="4"/>
        <v>0</v>
      </c>
    </row>
    <row r="435">
      <c r="B435" s="173" t="str">
        <f>IFERROR(vlookup(A435,TSM!A:Q,8,FALSE),"")</f>
        <v/>
      </c>
      <c r="F435" s="93">
        <f t="shared" si="2"/>
        <v>0</v>
      </c>
      <c r="I435" s="173" t="str">
        <f>IFERROR(vlookup(A434,TSM!A:Q,2,FALSE),"")</f>
        <v/>
      </c>
      <c r="M435" s="93">
        <f t="shared" si="4"/>
        <v>0</v>
      </c>
    </row>
    <row r="436">
      <c r="B436" s="173" t="str">
        <f>IFERROR(vlookup(A436,TSM!A:Q,8,FALSE),"")</f>
        <v/>
      </c>
      <c r="F436" s="93">
        <f t="shared" si="2"/>
        <v>0</v>
      </c>
      <c r="I436" s="173" t="str">
        <f>IFERROR(vlookup(A435,TSM!A:Q,2,FALSE),"")</f>
        <v/>
      </c>
      <c r="M436" s="93">
        <f t="shared" si="4"/>
        <v>0</v>
      </c>
    </row>
    <row r="437">
      <c r="B437" s="173" t="str">
        <f>IFERROR(vlookup(A437,TSM!A:Q,8,FALSE),"")</f>
        <v/>
      </c>
      <c r="F437" s="93">
        <f t="shared" si="2"/>
        <v>0</v>
      </c>
      <c r="I437" s="173" t="str">
        <f>IFERROR(vlookup(A436,TSM!A:Q,2,FALSE),"")</f>
        <v/>
      </c>
      <c r="M437" s="93">
        <f t="shared" si="4"/>
        <v>0</v>
      </c>
    </row>
    <row r="438">
      <c r="B438" s="173" t="str">
        <f>IFERROR(vlookup(A438,TSM!A:Q,8,FALSE),"")</f>
        <v/>
      </c>
      <c r="F438" s="93">
        <f t="shared" si="2"/>
        <v>0</v>
      </c>
      <c r="I438" s="173" t="str">
        <f>IFERROR(vlookup(A437,TSM!A:Q,2,FALSE),"")</f>
        <v/>
      </c>
      <c r="M438" s="93">
        <f t="shared" si="4"/>
        <v>0</v>
      </c>
    </row>
    <row r="439">
      <c r="B439" s="173" t="str">
        <f>IFERROR(vlookup(A439,TSM!A:Q,8,FALSE),"")</f>
        <v/>
      </c>
      <c r="F439" s="93">
        <f t="shared" si="2"/>
        <v>0</v>
      </c>
      <c r="I439" s="173" t="str">
        <f>IFERROR(vlookup(A438,TSM!A:Q,2,FALSE),"")</f>
        <v/>
      </c>
      <c r="M439" s="93">
        <f t="shared" si="4"/>
        <v>0</v>
      </c>
    </row>
    <row r="440">
      <c r="B440" s="173" t="str">
        <f>IFERROR(vlookup(A440,TSM!A:Q,8,FALSE),"")</f>
        <v/>
      </c>
      <c r="F440" s="93">
        <f t="shared" si="2"/>
        <v>0</v>
      </c>
      <c r="I440" s="173" t="str">
        <f>IFERROR(vlookup(A439,TSM!A:Q,2,FALSE),"")</f>
        <v/>
      </c>
      <c r="M440" s="93">
        <f t="shared" si="4"/>
        <v>0</v>
      </c>
    </row>
    <row r="441">
      <c r="B441" s="173" t="str">
        <f>IFERROR(vlookup(A441,TSM!A:Q,8,FALSE),"")</f>
        <v/>
      </c>
      <c r="F441" s="93">
        <f t="shared" si="2"/>
        <v>0</v>
      </c>
      <c r="I441" s="173" t="str">
        <f>IFERROR(vlookup(A440,TSM!A:Q,2,FALSE),"")</f>
        <v/>
      </c>
      <c r="M441" s="93">
        <f t="shared" si="4"/>
        <v>0</v>
      </c>
    </row>
    <row r="442">
      <c r="B442" s="173" t="str">
        <f>IFERROR(vlookup(A442,TSM!A:Q,8,FALSE),"")</f>
        <v/>
      </c>
      <c r="F442" s="93">
        <f t="shared" si="2"/>
        <v>0</v>
      </c>
      <c r="I442" s="173" t="str">
        <f>IFERROR(vlookup(A441,TSM!A:Q,2,FALSE),"")</f>
        <v/>
      </c>
      <c r="M442" s="93">
        <f t="shared" si="4"/>
        <v>0</v>
      </c>
    </row>
    <row r="443">
      <c r="B443" s="173" t="str">
        <f>IFERROR(vlookup(A443,TSM!A:Q,8,FALSE),"")</f>
        <v/>
      </c>
      <c r="F443" s="93">
        <f t="shared" si="2"/>
        <v>0</v>
      </c>
      <c r="I443" s="173" t="str">
        <f>IFERROR(vlookup(A442,TSM!A:Q,2,FALSE),"")</f>
        <v/>
      </c>
      <c r="M443" s="93">
        <f t="shared" si="4"/>
        <v>0</v>
      </c>
    </row>
    <row r="444">
      <c r="B444" s="173" t="str">
        <f>IFERROR(vlookup(A444,TSM!A:Q,8,FALSE),"")</f>
        <v/>
      </c>
      <c r="F444" s="93">
        <f t="shared" si="2"/>
        <v>0</v>
      </c>
      <c r="I444" s="173" t="str">
        <f>IFERROR(vlookup(A443,TSM!A:Q,2,FALSE),"")</f>
        <v/>
      </c>
      <c r="M444" s="93">
        <f t="shared" si="4"/>
        <v>0</v>
      </c>
    </row>
    <row r="445">
      <c r="B445" s="173" t="str">
        <f>IFERROR(vlookup(A445,TSM!A:Q,8,FALSE),"")</f>
        <v/>
      </c>
      <c r="F445" s="93">
        <f t="shared" si="2"/>
        <v>0</v>
      </c>
      <c r="I445" s="173" t="str">
        <f>IFERROR(vlookup(A444,TSM!A:Q,2,FALSE),"")</f>
        <v/>
      </c>
      <c r="M445" s="93">
        <f t="shared" si="4"/>
        <v>0</v>
      </c>
    </row>
    <row r="446">
      <c r="B446" s="173" t="str">
        <f>IFERROR(vlookup(A446,TSM!A:Q,8,FALSE),"")</f>
        <v/>
      </c>
      <c r="F446" s="93">
        <f t="shared" si="2"/>
        <v>0</v>
      </c>
      <c r="I446" s="173" t="str">
        <f>IFERROR(vlookup(A445,TSM!A:Q,2,FALSE),"")</f>
        <v/>
      </c>
      <c r="M446" s="93">
        <f t="shared" si="4"/>
        <v>0</v>
      </c>
    </row>
    <row r="447">
      <c r="B447" s="173" t="str">
        <f>IFERROR(vlookup(A447,TSM!A:Q,8,FALSE),"")</f>
        <v/>
      </c>
      <c r="F447" s="93">
        <f t="shared" si="2"/>
        <v>0</v>
      </c>
      <c r="I447" s="173" t="str">
        <f>IFERROR(vlookup(A446,TSM!A:Q,2,FALSE),"")</f>
        <v/>
      </c>
      <c r="M447" s="93">
        <f t="shared" si="4"/>
        <v>0</v>
      </c>
    </row>
    <row r="448">
      <c r="B448" s="173" t="str">
        <f>IFERROR(vlookup(A448,TSM!A:Q,8,FALSE),"")</f>
        <v/>
      </c>
      <c r="F448" s="93">
        <f t="shared" si="2"/>
        <v>0</v>
      </c>
      <c r="I448" s="173" t="str">
        <f>IFERROR(vlookup(A447,TSM!A:Q,2,FALSE),"")</f>
        <v/>
      </c>
      <c r="M448" s="93">
        <f t="shared" si="4"/>
        <v>0</v>
      </c>
    </row>
    <row r="449">
      <c r="B449" s="173" t="str">
        <f>IFERROR(vlookup(A449,TSM!A:Q,8,FALSE),"")</f>
        <v/>
      </c>
      <c r="F449" s="93">
        <f t="shared" si="2"/>
        <v>0</v>
      </c>
      <c r="I449" s="173" t="str">
        <f>IFERROR(vlookup(A448,TSM!A:Q,2,FALSE),"")</f>
        <v/>
      </c>
      <c r="M449" s="93">
        <f t="shared" si="4"/>
        <v>0</v>
      </c>
    </row>
    <row r="450">
      <c r="B450" s="173" t="str">
        <f>IFERROR(vlookup(A450,TSM!A:Q,8,FALSE),"")</f>
        <v/>
      </c>
      <c r="F450" s="93">
        <f t="shared" si="2"/>
        <v>0</v>
      </c>
      <c r="I450" s="173" t="str">
        <f>IFERROR(vlookup(A449,TSM!A:Q,2,FALSE),"")</f>
        <v/>
      </c>
      <c r="M450" s="93">
        <f t="shared" si="4"/>
        <v>0</v>
      </c>
    </row>
    <row r="451">
      <c r="B451" s="173" t="str">
        <f>IFERROR(vlookup(A451,TSM!A:Q,8,FALSE),"")</f>
        <v/>
      </c>
      <c r="F451" s="93">
        <f t="shared" si="2"/>
        <v>0</v>
      </c>
      <c r="I451" s="173" t="str">
        <f>IFERROR(vlookup(A450,TSM!A:Q,2,FALSE),"")</f>
        <v/>
      </c>
      <c r="M451" s="93">
        <f t="shared" si="4"/>
        <v>0</v>
      </c>
    </row>
    <row r="452">
      <c r="B452" s="173" t="str">
        <f>IFERROR(vlookup(A452,TSM!A:Q,8,FALSE),"")</f>
        <v/>
      </c>
      <c r="F452" s="93">
        <f t="shared" si="2"/>
        <v>0</v>
      </c>
      <c r="I452" s="173" t="str">
        <f>IFERROR(vlookup(A451,TSM!A:Q,2,FALSE),"")</f>
        <v/>
      </c>
      <c r="M452" s="93">
        <f t="shared" si="4"/>
        <v>0</v>
      </c>
    </row>
    <row r="453">
      <c r="B453" s="173" t="str">
        <f>IFERROR(vlookup(A453,TSM!A:Q,8,FALSE),"")</f>
        <v/>
      </c>
      <c r="F453" s="93">
        <f t="shared" si="2"/>
        <v>0</v>
      </c>
      <c r="I453" s="173" t="str">
        <f>IFERROR(vlookup(A452,TSM!A:Q,2,FALSE),"")</f>
        <v/>
      </c>
      <c r="M453" s="93">
        <f t="shared" si="4"/>
        <v>0</v>
      </c>
    </row>
    <row r="454">
      <c r="B454" s="173" t="str">
        <f>IFERROR(vlookup(A454,TSM!A:Q,8,FALSE),"")</f>
        <v/>
      </c>
      <c r="F454" s="93">
        <f t="shared" si="2"/>
        <v>0</v>
      </c>
      <c r="I454" s="173" t="str">
        <f>IFERROR(vlookup(A453,TSM!A:Q,2,FALSE),"")</f>
        <v/>
      </c>
      <c r="M454" s="93">
        <f t="shared" si="4"/>
        <v>0</v>
      </c>
    </row>
    <row r="455">
      <c r="B455" s="173" t="str">
        <f>IFERROR(vlookup(A455,TSM!A:Q,8,FALSE),"")</f>
        <v/>
      </c>
      <c r="F455" s="93">
        <f t="shared" si="2"/>
        <v>0</v>
      </c>
      <c r="I455" s="173" t="str">
        <f>IFERROR(vlookup(A454,TSM!A:Q,2,FALSE),"")</f>
        <v/>
      </c>
      <c r="M455" s="93">
        <f t="shared" si="4"/>
        <v>0</v>
      </c>
    </row>
    <row r="456">
      <c r="B456" s="173" t="str">
        <f>IFERROR(vlookup(A456,TSM!A:Q,8,FALSE),"")</f>
        <v/>
      </c>
      <c r="F456" s="93">
        <f t="shared" si="2"/>
        <v>0</v>
      </c>
      <c r="I456" s="173" t="str">
        <f>IFERROR(vlookup(A455,TSM!A:Q,2,FALSE),"")</f>
        <v/>
      </c>
      <c r="M456" s="93">
        <f t="shared" si="4"/>
        <v>0</v>
      </c>
    </row>
    <row r="457">
      <c r="B457" s="173" t="str">
        <f>IFERROR(vlookup(A457,TSM!A:Q,8,FALSE),"")</f>
        <v/>
      </c>
      <c r="F457" s="93">
        <f t="shared" si="2"/>
        <v>0</v>
      </c>
      <c r="I457" s="173" t="str">
        <f>IFERROR(vlookup(A456,TSM!A:Q,2,FALSE),"")</f>
        <v/>
      </c>
      <c r="M457" s="93">
        <f t="shared" si="4"/>
        <v>0</v>
      </c>
    </row>
    <row r="458">
      <c r="B458" s="173" t="str">
        <f>IFERROR(vlookup(A458,TSM!A:Q,8,FALSE),"")</f>
        <v/>
      </c>
      <c r="F458" s="93">
        <f t="shared" si="2"/>
        <v>0</v>
      </c>
      <c r="I458" s="173" t="str">
        <f>IFERROR(vlookup(A457,TSM!A:Q,2,FALSE),"")</f>
        <v/>
      </c>
      <c r="M458" s="93">
        <f t="shared" si="4"/>
        <v>0</v>
      </c>
    </row>
    <row r="459">
      <c r="B459" s="173" t="str">
        <f>IFERROR(vlookup(A459,TSM!A:Q,8,FALSE),"")</f>
        <v/>
      </c>
      <c r="F459" s="93">
        <f t="shared" si="2"/>
        <v>0</v>
      </c>
      <c r="I459" s="173" t="str">
        <f>IFERROR(vlookup(A458,TSM!A:Q,2,FALSE),"")</f>
        <v/>
      </c>
      <c r="M459" s="93">
        <f t="shared" si="4"/>
        <v>0</v>
      </c>
    </row>
    <row r="460">
      <c r="B460" s="173" t="str">
        <f>IFERROR(vlookup(A460,TSM!A:Q,8,FALSE),"")</f>
        <v/>
      </c>
      <c r="F460" s="93">
        <f t="shared" si="2"/>
        <v>0</v>
      </c>
      <c r="I460" s="173" t="str">
        <f>IFERROR(vlookup(A459,TSM!A:Q,2,FALSE),"")</f>
        <v/>
      </c>
      <c r="M460" s="93">
        <f t="shared" si="4"/>
        <v>0</v>
      </c>
    </row>
    <row r="461">
      <c r="B461" s="173" t="str">
        <f>IFERROR(vlookup(A461,TSM!A:Q,8,FALSE),"")</f>
        <v/>
      </c>
      <c r="F461" s="93">
        <f t="shared" si="2"/>
        <v>0</v>
      </c>
      <c r="I461" s="173" t="str">
        <f>IFERROR(vlookup(A460,TSM!A:Q,2,FALSE),"")</f>
        <v/>
      </c>
      <c r="M461" s="93">
        <f t="shared" si="4"/>
        <v>0</v>
      </c>
    </row>
    <row r="462">
      <c r="B462" s="173" t="str">
        <f>IFERROR(vlookup(A462,TSM!A:Q,8,FALSE),"")</f>
        <v/>
      </c>
      <c r="F462" s="93">
        <f t="shared" si="2"/>
        <v>0</v>
      </c>
      <c r="I462" s="173" t="str">
        <f>IFERROR(vlookup(A461,TSM!A:Q,2,FALSE),"")</f>
        <v/>
      </c>
      <c r="M462" s="93">
        <f t="shared" si="4"/>
        <v>0</v>
      </c>
    </row>
    <row r="463">
      <c r="B463" s="173" t="str">
        <f>IFERROR(vlookup(A463,TSM!A:Q,8,FALSE),"")</f>
        <v/>
      </c>
      <c r="F463" s="93">
        <f t="shared" si="2"/>
        <v>0</v>
      </c>
      <c r="I463" s="173" t="str">
        <f>IFERROR(vlookup(A462,TSM!A:Q,2,FALSE),"")</f>
        <v/>
      </c>
      <c r="M463" s="93">
        <f t="shared" si="4"/>
        <v>0</v>
      </c>
    </row>
    <row r="464">
      <c r="B464" s="173" t="str">
        <f>IFERROR(vlookup(A464,TSM!A:Q,8,FALSE),"")</f>
        <v/>
      </c>
      <c r="F464" s="93">
        <f t="shared" si="2"/>
        <v>0</v>
      </c>
      <c r="I464" s="173" t="str">
        <f>IFERROR(vlookup(A463,TSM!A:Q,2,FALSE),"")</f>
        <v/>
      </c>
      <c r="M464" s="93">
        <f t="shared" si="4"/>
        <v>0</v>
      </c>
    </row>
    <row r="465">
      <c r="B465" s="173" t="str">
        <f>IFERROR(vlookup(A465,TSM!A:Q,8,FALSE),"")</f>
        <v/>
      </c>
      <c r="F465" s="93">
        <f t="shared" si="2"/>
        <v>0</v>
      </c>
      <c r="I465" s="173" t="str">
        <f>IFERROR(vlookup(A464,TSM!A:Q,2,FALSE),"")</f>
        <v/>
      </c>
      <c r="M465" s="93">
        <f t="shared" si="4"/>
        <v>0</v>
      </c>
    </row>
    <row r="466">
      <c r="B466" s="173" t="str">
        <f>IFERROR(vlookup(A466,TSM!A:Q,8,FALSE),"")</f>
        <v/>
      </c>
      <c r="F466" s="93">
        <f t="shared" si="2"/>
        <v>0</v>
      </c>
      <c r="I466" s="173" t="str">
        <f>IFERROR(vlookup(A465,TSM!A:Q,2,FALSE),"")</f>
        <v/>
      </c>
      <c r="M466" s="93">
        <f t="shared" si="4"/>
        <v>0</v>
      </c>
    </row>
    <row r="467">
      <c r="B467" s="173" t="str">
        <f>IFERROR(vlookup(A467,TSM!A:Q,8,FALSE),"")</f>
        <v/>
      </c>
      <c r="F467" s="93">
        <f t="shared" si="2"/>
        <v>0</v>
      </c>
      <c r="I467" s="173" t="str">
        <f>IFERROR(vlookup(A466,TSM!A:Q,2,FALSE),"")</f>
        <v/>
      </c>
      <c r="M467" s="93">
        <f t="shared" si="4"/>
        <v>0</v>
      </c>
    </row>
    <row r="468">
      <c r="B468" s="173" t="str">
        <f>IFERROR(vlookup(A468,TSM!A:Q,8,FALSE),"")</f>
        <v/>
      </c>
      <c r="F468" s="93">
        <f t="shared" si="2"/>
        <v>0</v>
      </c>
      <c r="I468" s="173" t="str">
        <f>IFERROR(vlookup(A467,TSM!A:Q,2,FALSE),"")</f>
        <v/>
      </c>
      <c r="M468" s="93">
        <f t="shared" si="4"/>
        <v>0</v>
      </c>
    </row>
    <row r="469">
      <c r="B469" s="173" t="str">
        <f>IFERROR(vlookup(A469,TSM!A:Q,8,FALSE),"")</f>
        <v/>
      </c>
      <c r="F469" s="93">
        <f t="shared" si="2"/>
        <v>0</v>
      </c>
      <c r="I469" s="173" t="str">
        <f>IFERROR(vlookup(A468,TSM!A:Q,2,FALSE),"")</f>
        <v/>
      </c>
      <c r="M469" s="93">
        <f t="shared" si="4"/>
        <v>0</v>
      </c>
    </row>
    <row r="470">
      <c r="B470" s="173" t="str">
        <f>IFERROR(vlookup(A470,TSM!A:Q,8,FALSE),"")</f>
        <v/>
      </c>
      <c r="F470" s="93">
        <f t="shared" si="2"/>
        <v>0</v>
      </c>
      <c r="I470" s="173" t="str">
        <f>IFERROR(vlookup(A469,TSM!A:Q,2,FALSE),"")</f>
        <v/>
      </c>
      <c r="M470" s="93">
        <f t="shared" si="4"/>
        <v>0</v>
      </c>
    </row>
    <row r="471">
      <c r="B471" s="173" t="str">
        <f>IFERROR(vlookup(A471,TSM!A:Q,8,FALSE),"")</f>
        <v/>
      </c>
      <c r="F471" s="93">
        <f t="shared" si="2"/>
        <v>0</v>
      </c>
      <c r="I471" s="173" t="str">
        <f>IFERROR(vlookup(A470,TSM!A:Q,2,FALSE),"")</f>
        <v/>
      </c>
      <c r="M471" s="93">
        <f t="shared" si="4"/>
        <v>0</v>
      </c>
    </row>
    <row r="472">
      <c r="B472" s="173" t="str">
        <f>IFERROR(vlookup(A472,TSM!A:Q,8,FALSE),"")</f>
        <v/>
      </c>
      <c r="F472" s="93">
        <f t="shared" si="2"/>
        <v>0</v>
      </c>
      <c r="I472" s="173" t="str">
        <f>IFERROR(vlookup(A471,TSM!A:Q,2,FALSE),"")</f>
        <v/>
      </c>
      <c r="M472" s="93">
        <f t="shared" si="4"/>
        <v>0</v>
      </c>
    </row>
    <row r="473">
      <c r="B473" s="173" t="str">
        <f>IFERROR(vlookup(A473,TSM!A:Q,8,FALSE),"")</f>
        <v/>
      </c>
      <c r="F473" s="93">
        <f t="shared" si="2"/>
        <v>0</v>
      </c>
      <c r="I473" s="173" t="str">
        <f>IFERROR(vlookup(A472,TSM!A:Q,2,FALSE),"")</f>
        <v/>
      </c>
      <c r="M473" s="93">
        <f t="shared" si="4"/>
        <v>0</v>
      </c>
    </row>
    <row r="474">
      <c r="B474" s="173" t="str">
        <f>IFERROR(vlookup(A474,TSM!A:Q,8,FALSE),"")</f>
        <v/>
      </c>
      <c r="F474" s="93">
        <f t="shared" si="2"/>
        <v>0</v>
      </c>
      <c r="I474" s="173" t="str">
        <f>IFERROR(vlookup(A473,TSM!A:Q,2,FALSE),"")</f>
        <v/>
      </c>
      <c r="M474" s="93">
        <f t="shared" si="4"/>
        <v>0</v>
      </c>
    </row>
    <row r="475">
      <c r="B475" s="173" t="str">
        <f>IFERROR(vlookup(A475,TSM!A:Q,8,FALSE),"")</f>
        <v/>
      </c>
      <c r="F475" s="93">
        <f t="shared" si="2"/>
        <v>0</v>
      </c>
      <c r="I475" s="173" t="str">
        <f>IFERROR(vlookup(A474,TSM!A:Q,2,FALSE),"")</f>
        <v/>
      </c>
      <c r="M475" s="93">
        <f t="shared" si="4"/>
        <v>0</v>
      </c>
    </row>
    <row r="476">
      <c r="B476" s="173" t="str">
        <f>IFERROR(vlookup(A476,TSM!A:Q,8,FALSE),"")</f>
        <v/>
      </c>
      <c r="F476" s="93">
        <f t="shared" si="2"/>
        <v>0</v>
      </c>
      <c r="I476" s="173" t="str">
        <f>IFERROR(vlookup(A475,TSM!A:Q,2,FALSE),"")</f>
        <v/>
      </c>
      <c r="M476" s="93">
        <f t="shared" si="4"/>
        <v>0</v>
      </c>
    </row>
    <row r="477">
      <c r="B477" s="173" t="str">
        <f>IFERROR(vlookup(A477,TSM!A:Q,8,FALSE),"")</f>
        <v/>
      </c>
      <c r="F477" s="93">
        <f t="shared" si="2"/>
        <v>0</v>
      </c>
      <c r="I477" s="173" t="str">
        <f>IFERROR(vlookup(A476,TSM!A:Q,2,FALSE),"")</f>
        <v/>
      </c>
      <c r="M477" s="93">
        <f t="shared" si="4"/>
        <v>0</v>
      </c>
    </row>
    <row r="478">
      <c r="B478" s="173" t="str">
        <f>IFERROR(vlookup(A478,TSM!A:Q,8,FALSE),"")</f>
        <v/>
      </c>
      <c r="F478" s="93">
        <f t="shared" si="2"/>
        <v>0</v>
      </c>
      <c r="I478" s="173" t="str">
        <f>IFERROR(vlookup(A477,TSM!A:Q,2,FALSE),"")</f>
        <v/>
      </c>
      <c r="M478" s="93">
        <f t="shared" si="4"/>
        <v>0</v>
      </c>
    </row>
    <row r="479">
      <c r="B479" s="173" t="str">
        <f>IFERROR(vlookup(A479,TSM!A:Q,8,FALSE),"")</f>
        <v/>
      </c>
      <c r="F479" s="93">
        <f t="shared" si="2"/>
        <v>0</v>
      </c>
      <c r="I479" s="173" t="str">
        <f>IFERROR(vlookup(A478,TSM!A:Q,2,FALSE),"")</f>
        <v/>
      </c>
      <c r="M479" s="93">
        <f t="shared" si="4"/>
        <v>0</v>
      </c>
    </row>
    <row r="480">
      <c r="B480" s="173" t="str">
        <f>IFERROR(vlookup(A480,TSM!A:Q,8,FALSE),"")</f>
        <v/>
      </c>
      <c r="F480" s="93">
        <f t="shared" si="2"/>
        <v>0</v>
      </c>
      <c r="I480" s="173" t="str">
        <f>IFERROR(vlookup(A479,TSM!A:Q,2,FALSE),"")</f>
        <v/>
      </c>
      <c r="M480" s="93">
        <f t="shared" si="4"/>
        <v>0</v>
      </c>
    </row>
    <row r="481">
      <c r="B481" s="173" t="str">
        <f>IFERROR(vlookup(A481,TSM!A:Q,8,FALSE),"")</f>
        <v/>
      </c>
      <c r="F481" s="93">
        <f t="shared" si="2"/>
        <v>0</v>
      </c>
      <c r="I481" s="173" t="str">
        <f>IFERROR(vlookup(A480,TSM!A:Q,2,FALSE),"")</f>
        <v/>
      </c>
      <c r="M481" s="93">
        <f t="shared" si="4"/>
        <v>0</v>
      </c>
    </row>
    <row r="482">
      <c r="B482" s="173" t="str">
        <f>IFERROR(vlookup(A482,TSM!A:Q,8,FALSE),"")</f>
        <v/>
      </c>
      <c r="F482" s="93">
        <f t="shared" si="2"/>
        <v>0</v>
      </c>
      <c r="I482" s="173" t="str">
        <f>IFERROR(vlookup(A481,TSM!A:Q,2,FALSE),"")</f>
        <v/>
      </c>
      <c r="M482" s="93">
        <f t="shared" si="4"/>
        <v>0</v>
      </c>
    </row>
    <row r="483">
      <c r="B483" s="173" t="str">
        <f>IFERROR(vlookup(A483,TSM!A:Q,8,FALSE),"")</f>
        <v/>
      </c>
      <c r="F483" s="93">
        <f t="shared" si="2"/>
        <v>0</v>
      </c>
      <c r="I483" s="173" t="str">
        <f>IFERROR(vlookup(A482,TSM!A:Q,2,FALSE),"")</f>
        <v/>
      </c>
      <c r="M483" s="93">
        <f t="shared" si="4"/>
        <v>0</v>
      </c>
    </row>
    <row r="484">
      <c r="B484" s="173" t="str">
        <f>IFERROR(vlookup(A484,TSM!A:Q,8,FALSE),"")</f>
        <v/>
      </c>
      <c r="F484" s="93">
        <f t="shared" si="2"/>
        <v>0</v>
      </c>
      <c r="I484" s="173" t="str">
        <f>IFERROR(vlookup(A483,TSM!A:Q,2,FALSE),"")</f>
        <v/>
      </c>
      <c r="M484" s="93">
        <f t="shared" si="4"/>
        <v>0</v>
      </c>
    </row>
    <row r="485">
      <c r="B485" s="173" t="str">
        <f>IFERROR(vlookup(A485,TSM!A:Q,8,FALSE),"")</f>
        <v/>
      </c>
      <c r="F485" s="93">
        <f t="shared" si="2"/>
        <v>0</v>
      </c>
      <c r="I485" s="173" t="str">
        <f>IFERROR(vlookup(A484,TSM!A:Q,2,FALSE),"")</f>
        <v/>
      </c>
      <c r="M485" s="93">
        <f t="shared" si="4"/>
        <v>0</v>
      </c>
    </row>
    <row r="486">
      <c r="B486" s="173" t="str">
        <f>IFERROR(vlookup(A486,TSM!A:Q,8,FALSE),"")</f>
        <v/>
      </c>
      <c r="F486" s="93">
        <f t="shared" si="2"/>
        <v>0</v>
      </c>
      <c r="I486" s="173" t="str">
        <f>IFERROR(vlookup(A485,TSM!A:Q,2,FALSE),"")</f>
        <v/>
      </c>
      <c r="M486" s="93">
        <f t="shared" si="4"/>
        <v>0</v>
      </c>
    </row>
    <row r="487">
      <c r="B487" s="173" t="str">
        <f>IFERROR(vlookup(A487,TSM!A:Q,8,FALSE),"")</f>
        <v/>
      </c>
      <c r="F487" s="93">
        <f t="shared" si="2"/>
        <v>0</v>
      </c>
      <c r="I487" s="173" t="str">
        <f>IFERROR(vlookup(A486,TSM!A:Q,2,FALSE),"")</f>
        <v/>
      </c>
      <c r="M487" s="93">
        <f t="shared" si="4"/>
        <v>0</v>
      </c>
    </row>
    <row r="488">
      <c r="B488" s="173" t="str">
        <f>IFERROR(vlookup(A488,TSM!A:Q,8,FALSE),"")</f>
        <v/>
      </c>
      <c r="F488" s="93">
        <f t="shared" si="2"/>
        <v>0</v>
      </c>
      <c r="I488" s="173" t="str">
        <f>IFERROR(vlookup(A487,TSM!A:Q,2,FALSE),"")</f>
        <v/>
      </c>
      <c r="M488" s="93">
        <f t="shared" si="4"/>
        <v>0</v>
      </c>
    </row>
    <row r="489">
      <c r="B489" s="173" t="str">
        <f>IFERROR(vlookup(A489,TSM!A:Q,8,FALSE),"")</f>
        <v/>
      </c>
      <c r="F489" s="93">
        <f t="shared" si="2"/>
        <v>0</v>
      </c>
      <c r="I489" s="173" t="str">
        <f>IFERROR(vlookup(A488,TSM!A:Q,2,FALSE),"")</f>
        <v/>
      </c>
      <c r="M489" s="93">
        <f t="shared" si="4"/>
        <v>0</v>
      </c>
    </row>
    <row r="490">
      <c r="B490" s="173" t="str">
        <f>IFERROR(vlookup(A490,TSM!A:Q,8,FALSE),"")</f>
        <v/>
      </c>
      <c r="F490" s="93">
        <f t="shared" si="2"/>
        <v>0</v>
      </c>
      <c r="I490" s="173" t="str">
        <f>IFERROR(vlookup(A489,TSM!A:Q,2,FALSE),"")</f>
        <v/>
      </c>
      <c r="M490" s="93">
        <f t="shared" si="4"/>
        <v>0</v>
      </c>
    </row>
    <row r="491">
      <c r="B491" s="173" t="str">
        <f>IFERROR(vlookup(A491,TSM!A:Q,8,FALSE),"")</f>
        <v/>
      </c>
      <c r="F491" s="93">
        <f t="shared" si="2"/>
        <v>0</v>
      </c>
      <c r="I491" s="173" t="str">
        <f>IFERROR(vlookup(A490,TSM!A:Q,2,FALSE),"")</f>
        <v/>
      </c>
      <c r="M491" s="93">
        <f t="shared" si="4"/>
        <v>0</v>
      </c>
    </row>
    <row r="492">
      <c r="B492" s="173" t="str">
        <f>IFERROR(vlookup(A492,TSM!A:Q,8,FALSE),"")</f>
        <v/>
      </c>
      <c r="F492" s="93">
        <f t="shared" si="2"/>
        <v>0</v>
      </c>
      <c r="I492" s="173" t="str">
        <f>IFERROR(vlookup(A491,TSM!A:Q,2,FALSE),"")</f>
        <v/>
      </c>
      <c r="M492" s="93">
        <f t="shared" si="4"/>
        <v>0</v>
      </c>
    </row>
    <row r="493">
      <c r="B493" s="173" t="str">
        <f>IFERROR(vlookup(A493,TSM!A:Q,8,FALSE),"")</f>
        <v/>
      </c>
      <c r="F493" s="93">
        <f t="shared" si="2"/>
        <v>0</v>
      </c>
      <c r="I493" s="173" t="str">
        <f>IFERROR(vlookup(A492,TSM!A:Q,2,FALSE),"")</f>
        <v/>
      </c>
      <c r="M493" s="93">
        <f t="shared" si="4"/>
        <v>0</v>
      </c>
    </row>
    <row r="494">
      <c r="B494" s="173" t="str">
        <f>IFERROR(vlookup(A494,TSM!A:Q,8,FALSE),"")</f>
        <v/>
      </c>
      <c r="F494" s="93">
        <f t="shared" si="2"/>
        <v>0</v>
      </c>
      <c r="I494" s="173" t="str">
        <f>IFERROR(vlookup(A493,TSM!A:Q,2,FALSE),"")</f>
        <v/>
      </c>
      <c r="M494" s="93">
        <f t="shared" si="4"/>
        <v>0</v>
      </c>
    </row>
    <row r="495">
      <c r="B495" s="173" t="str">
        <f>IFERROR(vlookup(A495,TSM!A:Q,8,FALSE),"")</f>
        <v/>
      </c>
      <c r="F495" s="93">
        <f t="shared" si="2"/>
        <v>0</v>
      </c>
      <c r="I495" s="173" t="str">
        <f>IFERROR(vlookup(A494,TSM!A:Q,2,FALSE),"")</f>
        <v/>
      </c>
      <c r="M495" s="93">
        <f t="shared" si="4"/>
        <v>0</v>
      </c>
    </row>
    <row r="496">
      <c r="B496" s="173" t="str">
        <f>IFERROR(vlookup(A496,TSM!A:Q,8,FALSE),"")</f>
        <v/>
      </c>
      <c r="F496" s="93">
        <f t="shared" si="2"/>
        <v>0</v>
      </c>
      <c r="I496" s="173" t="str">
        <f>IFERROR(vlookup(A495,TSM!A:Q,2,FALSE),"")</f>
        <v/>
      </c>
      <c r="M496" s="93">
        <f t="shared" si="4"/>
        <v>0</v>
      </c>
    </row>
    <row r="497">
      <c r="B497" s="173" t="str">
        <f>IFERROR(vlookup(A497,TSM!A:Q,8,FALSE),"")</f>
        <v/>
      </c>
      <c r="F497" s="93">
        <f t="shared" si="2"/>
        <v>0</v>
      </c>
      <c r="I497" s="173" t="str">
        <f>IFERROR(vlookup(A496,TSM!A:Q,2,FALSE),"")</f>
        <v/>
      </c>
      <c r="M497" s="93">
        <f t="shared" si="4"/>
        <v>0</v>
      </c>
    </row>
    <row r="498">
      <c r="B498" s="173" t="str">
        <f>IFERROR(vlookup(A498,TSM!A:Q,8,FALSE),"")</f>
        <v/>
      </c>
      <c r="F498" s="93">
        <f t="shared" si="2"/>
        <v>0</v>
      </c>
      <c r="I498" s="173" t="str">
        <f>IFERROR(vlookup(A497,TSM!A:Q,2,FALSE),"")</f>
        <v/>
      </c>
      <c r="M498" s="93">
        <f t="shared" si="4"/>
        <v>0</v>
      </c>
    </row>
    <row r="499">
      <c r="B499" s="173" t="str">
        <f>IFERROR(vlookup(A499,TSM!A:Q,8,FALSE),"")</f>
        <v/>
      </c>
      <c r="F499" s="93">
        <f t="shared" si="2"/>
        <v>0</v>
      </c>
      <c r="I499" s="173" t="str">
        <f>IFERROR(vlookup(A498,TSM!A:Q,2,FALSE),"")</f>
        <v/>
      </c>
      <c r="M499" s="93">
        <f t="shared" si="4"/>
        <v>0</v>
      </c>
    </row>
    <row r="500">
      <c r="B500" s="173" t="str">
        <f>IFERROR(vlookup(A500,TSM!A:Q,8,FALSE),"")</f>
        <v/>
      </c>
      <c r="F500" s="93">
        <f t="shared" si="2"/>
        <v>0</v>
      </c>
      <c r="I500" s="173" t="str">
        <f>IFERROR(vlookup(A499,TSM!A:Q,2,FALSE),"")</f>
        <v/>
      </c>
      <c r="M500" s="93">
        <f t="shared" si="4"/>
        <v>0</v>
      </c>
    </row>
    <row r="501">
      <c r="B501" s="173" t="str">
        <f>IFERROR(vlookup(A501,TSM!A:Q,8,FALSE),"")</f>
        <v/>
      </c>
      <c r="F501" s="93">
        <f t="shared" si="2"/>
        <v>0</v>
      </c>
      <c r="I501" s="173" t="str">
        <f>IFERROR(vlookup(A500,TSM!A:Q,2,FALSE),"")</f>
        <v/>
      </c>
      <c r="M501" s="93">
        <f t="shared" si="4"/>
        <v>0</v>
      </c>
    </row>
    <row r="502">
      <c r="B502" s="173" t="str">
        <f>IFERROR(vlookup(A502,TSM!A:Q,8,FALSE),"")</f>
        <v/>
      </c>
      <c r="F502" s="93">
        <f t="shared" si="2"/>
        <v>0</v>
      </c>
      <c r="I502" s="173" t="str">
        <f>IFERROR(vlookup(A501,TSM!A:Q,2,FALSE),"")</f>
        <v/>
      </c>
      <c r="M502" s="93">
        <f t="shared" si="4"/>
        <v>0</v>
      </c>
    </row>
    <row r="503">
      <c r="B503" s="173" t="str">
        <f>IFERROR(vlookup(A503,TSM!A:Q,8,FALSE),"")</f>
        <v/>
      </c>
      <c r="F503" s="93">
        <f t="shared" si="2"/>
        <v>0</v>
      </c>
      <c r="I503" s="173" t="str">
        <f>IFERROR(vlookup(A502,TSM!A:Q,2,FALSE),"")</f>
        <v/>
      </c>
      <c r="M503" s="93">
        <f t="shared" si="4"/>
        <v>0</v>
      </c>
    </row>
    <row r="504">
      <c r="B504" s="173" t="str">
        <f>IFERROR(vlookup(A504,TSM!A:Q,8,FALSE),"")</f>
        <v/>
      </c>
      <c r="F504" s="93">
        <f t="shared" si="2"/>
        <v>0</v>
      </c>
      <c r="I504" s="173" t="str">
        <f>IFERROR(vlookup(A503,TSM!A:Q,2,FALSE),"")</f>
        <v/>
      </c>
      <c r="M504" s="93">
        <f t="shared" si="4"/>
        <v>0</v>
      </c>
    </row>
    <row r="505">
      <c r="B505" s="173" t="str">
        <f>IFERROR(vlookup(A505,TSM!A:Q,8,FALSE),"")</f>
        <v/>
      </c>
      <c r="F505" s="93">
        <f t="shared" si="2"/>
        <v>0</v>
      </c>
      <c r="I505" s="173" t="str">
        <f>IFERROR(vlookup(A504,TSM!A:Q,2,FALSE),"")</f>
        <v/>
      </c>
      <c r="M505" s="93">
        <f t="shared" si="4"/>
        <v>0</v>
      </c>
    </row>
    <row r="506">
      <c r="B506" s="173" t="str">
        <f>IFERROR(vlookup(A506,TSM!A:Q,8,FALSE),"")</f>
        <v/>
      </c>
      <c r="F506" s="93">
        <f t="shared" si="2"/>
        <v>0</v>
      </c>
      <c r="I506" s="173" t="str">
        <f>IFERROR(vlookup(A505,TSM!A:Q,2,FALSE),"")</f>
        <v/>
      </c>
      <c r="M506" s="93">
        <f t="shared" si="4"/>
        <v>0</v>
      </c>
    </row>
    <row r="507">
      <c r="B507" s="173" t="str">
        <f>IFERROR(vlookup(A507,TSM!A:Q,8,FALSE),"")</f>
        <v/>
      </c>
      <c r="F507" s="93">
        <f t="shared" si="2"/>
        <v>0</v>
      </c>
      <c r="I507" s="173" t="str">
        <f>IFERROR(vlookup(A506,TSM!A:Q,2,FALSE),"")</f>
        <v/>
      </c>
      <c r="M507" s="93">
        <f t="shared" si="4"/>
        <v>0</v>
      </c>
    </row>
    <row r="508">
      <c r="B508" s="173" t="str">
        <f>IFERROR(vlookup(A508,TSM!A:Q,8,FALSE),"")</f>
        <v/>
      </c>
      <c r="F508" s="93">
        <f t="shared" si="2"/>
        <v>0</v>
      </c>
      <c r="I508" s="173" t="str">
        <f>IFERROR(vlookup(A507,TSM!A:Q,2,FALSE),"")</f>
        <v/>
      </c>
      <c r="M508" s="93">
        <f t="shared" si="4"/>
        <v>0</v>
      </c>
    </row>
    <row r="509">
      <c r="B509" s="173" t="str">
        <f>IFERROR(vlookup(A509,TSM!A:Q,8,FALSE),"")</f>
        <v/>
      </c>
      <c r="F509" s="93">
        <f t="shared" si="2"/>
        <v>0</v>
      </c>
      <c r="I509" s="173" t="str">
        <f>IFERROR(vlookup(A508,TSM!A:Q,2,FALSE),"")</f>
        <v/>
      </c>
      <c r="M509" s="93">
        <f t="shared" si="4"/>
        <v>0</v>
      </c>
    </row>
    <row r="510">
      <c r="B510" s="173" t="str">
        <f>IFERROR(vlookup(A510,TSM!A:Q,8,FALSE),"")</f>
        <v/>
      </c>
      <c r="F510" s="93">
        <f t="shared" si="2"/>
        <v>0</v>
      </c>
      <c r="I510" s="173" t="str">
        <f>IFERROR(vlookup(A509,TSM!A:Q,2,FALSE),"")</f>
        <v/>
      </c>
      <c r="M510" s="93">
        <f t="shared" si="4"/>
        <v>0</v>
      </c>
    </row>
    <row r="511">
      <c r="B511" s="173" t="str">
        <f>IFERROR(vlookup(A511,TSM!A:Q,8,FALSE),"")</f>
        <v/>
      </c>
      <c r="F511" s="93">
        <f t="shared" si="2"/>
        <v>0</v>
      </c>
      <c r="I511" s="173" t="str">
        <f>IFERROR(vlookup(A510,TSM!A:Q,2,FALSE),"")</f>
        <v/>
      </c>
      <c r="M511" s="93">
        <f t="shared" si="4"/>
        <v>0</v>
      </c>
    </row>
    <row r="512">
      <c r="B512" s="173" t="str">
        <f>IFERROR(vlookup(A512,TSM!A:Q,8,FALSE),"")</f>
        <v/>
      </c>
      <c r="F512" s="93">
        <f t="shared" si="2"/>
        <v>0</v>
      </c>
      <c r="I512" s="173" t="str">
        <f>IFERROR(vlookup(A511,TSM!A:Q,2,FALSE),"")</f>
        <v/>
      </c>
      <c r="M512" s="93">
        <f t="shared" si="4"/>
        <v>0</v>
      </c>
    </row>
    <row r="513">
      <c r="B513" s="173" t="str">
        <f>IFERROR(vlookup(A513,TSM!A:Q,8,FALSE),"")</f>
        <v/>
      </c>
      <c r="F513" s="93">
        <f t="shared" si="2"/>
        <v>0</v>
      </c>
      <c r="I513" s="173" t="str">
        <f>IFERROR(vlookup(A512,TSM!A:Q,2,FALSE),"")</f>
        <v/>
      </c>
      <c r="M513" s="93">
        <f t="shared" si="4"/>
        <v>0</v>
      </c>
    </row>
    <row r="514">
      <c r="B514" s="173" t="str">
        <f>IFERROR(vlookup(A514,TSM!A:Q,8,FALSE),"")</f>
        <v/>
      </c>
      <c r="F514" s="93">
        <f t="shared" si="2"/>
        <v>0</v>
      </c>
      <c r="I514" s="173" t="str">
        <f>IFERROR(vlookup(A513,TSM!A:Q,2,FALSE),"")</f>
        <v/>
      </c>
      <c r="M514" s="93">
        <f t="shared" si="4"/>
        <v>0</v>
      </c>
    </row>
    <row r="515">
      <c r="B515" s="173" t="str">
        <f>IFERROR(vlookup(A515,TSM!A:Q,8,FALSE),"")</f>
        <v/>
      </c>
      <c r="F515" s="93">
        <f t="shared" si="2"/>
        <v>0</v>
      </c>
      <c r="I515" s="173" t="str">
        <f>IFERROR(vlookup(A514,TSM!A:Q,2,FALSE),"")</f>
        <v/>
      </c>
      <c r="M515" s="93">
        <f t="shared" si="4"/>
        <v>0</v>
      </c>
    </row>
    <row r="516">
      <c r="B516" s="173" t="str">
        <f>IFERROR(vlookup(A516,TSM!A:Q,8,FALSE),"")</f>
        <v/>
      </c>
      <c r="F516" s="93">
        <f t="shared" si="2"/>
        <v>0</v>
      </c>
      <c r="I516" s="173" t="str">
        <f>IFERROR(vlookup(A515,TSM!A:Q,2,FALSE),"")</f>
        <v/>
      </c>
      <c r="M516" s="93">
        <f t="shared" si="4"/>
        <v>0</v>
      </c>
    </row>
    <row r="517">
      <c r="B517" s="173" t="str">
        <f>IFERROR(vlookup(A517,TSM!A:Q,8,FALSE),"")</f>
        <v/>
      </c>
      <c r="F517" s="93">
        <f t="shared" si="2"/>
        <v>0</v>
      </c>
      <c r="I517" s="173" t="str">
        <f>IFERROR(vlookup(A516,TSM!A:Q,2,FALSE),"")</f>
        <v/>
      </c>
      <c r="M517" s="93">
        <f t="shared" si="4"/>
        <v>0</v>
      </c>
    </row>
    <row r="518">
      <c r="B518" s="173" t="str">
        <f>IFERROR(vlookup(A518,TSM!A:Q,8,FALSE),"")</f>
        <v/>
      </c>
      <c r="F518" s="93">
        <f t="shared" si="2"/>
        <v>0</v>
      </c>
      <c r="I518" s="173" t="str">
        <f>IFERROR(vlookup(A517,TSM!A:Q,2,FALSE),"")</f>
        <v/>
      </c>
      <c r="M518" s="93">
        <f t="shared" si="4"/>
        <v>0</v>
      </c>
    </row>
    <row r="519">
      <c r="B519" s="173" t="str">
        <f>IFERROR(vlookup(A519,TSM!A:Q,8,FALSE),"")</f>
        <v/>
      </c>
      <c r="F519" s="93">
        <f t="shared" si="2"/>
        <v>0</v>
      </c>
      <c r="I519" s="173" t="str">
        <f>IFERROR(vlookup(A518,TSM!A:Q,2,FALSE),"")</f>
        <v/>
      </c>
      <c r="M519" s="93">
        <f t="shared" si="4"/>
        <v>0</v>
      </c>
    </row>
    <row r="520">
      <c r="B520" s="173" t="str">
        <f>IFERROR(vlookup(A520,TSM!A:Q,8,FALSE),"")</f>
        <v/>
      </c>
      <c r="F520" s="93">
        <f t="shared" si="2"/>
        <v>0</v>
      </c>
      <c r="I520" s="173" t="str">
        <f>IFERROR(vlookup(A519,TSM!A:Q,2,FALSE),"")</f>
        <v/>
      </c>
      <c r="M520" s="93">
        <f t="shared" si="4"/>
        <v>0</v>
      </c>
    </row>
    <row r="521">
      <c r="B521" s="173" t="str">
        <f>IFERROR(vlookup(A521,TSM!A:Q,8,FALSE),"")</f>
        <v/>
      </c>
      <c r="F521" s="93">
        <f t="shared" si="2"/>
        <v>0</v>
      </c>
      <c r="I521" s="173" t="str">
        <f>IFERROR(vlookup(A520,TSM!A:Q,2,FALSE),"")</f>
        <v/>
      </c>
      <c r="M521" s="93">
        <f t="shared" si="4"/>
        <v>0</v>
      </c>
    </row>
    <row r="522">
      <c r="B522" s="173" t="str">
        <f>IFERROR(vlookup(A522,TSM!A:Q,8,FALSE),"")</f>
        <v/>
      </c>
      <c r="F522" s="93">
        <f t="shared" si="2"/>
        <v>0</v>
      </c>
      <c r="I522" s="173" t="str">
        <f>IFERROR(vlookup(A521,TSM!A:Q,2,FALSE),"")</f>
        <v/>
      </c>
      <c r="M522" s="93">
        <f t="shared" si="4"/>
        <v>0</v>
      </c>
    </row>
    <row r="523">
      <c r="B523" s="173" t="str">
        <f>IFERROR(vlookup(A523,TSM!A:Q,8,FALSE),"")</f>
        <v/>
      </c>
      <c r="F523" s="93">
        <f t="shared" si="2"/>
        <v>0</v>
      </c>
      <c r="I523" s="173" t="str">
        <f>IFERROR(vlookup(A522,TSM!A:Q,2,FALSE),"")</f>
        <v/>
      </c>
      <c r="M523" s="93">
        <f t="shared" si="4"/>
        <v>0</v>
      </c>
    </row>
    <row r="524">
      <c r="B524" s="173" t="str">
        <f>IFERROR(vlookup(A524,TSM!A:Q,8,FALSE),"")</f>
        <v/>
      </c>
      <c r="F524" s="93">
        <f t="shared" si="2"/>
        <v>0</v>
      </c>
      <c r="I524" s="173" t="str">
        <f>IFERROR(vlookup(A523,TSM!A:Q,2,FALSE),"")</f>
        <v/>
      </c>
      <c r="M524" s="93">
        <f t="shared" si="4"/>
        <v>0</v>
      </c>
    </row>
    <row r="525">
      <c r="B525" s="173" t="str">
        <f>IFERROR(vlookup(A525,TSM!A:Q,8,FALSE),"")</f>
        <v/>
      </c>
      <c r="F525" s="93">
        <f t="shared" si="2"/>
        <v>0</v>
      </c>
      <c r="I525" s="173" t="str">
        <f>IFERROR(vlookup(A524,TSM!A:Q,2,FALSE),"")</f>
        <v/>
      </c>
      <c r="M525" s="93">
        <f t="shared" si="4"/>
        <v>0</v>
      </c>
    </row>
    <row r="526">
      <c r="B526" s="173" t="str">
        <f>IFERROR(vlookup(A526,TSM!A:Q,8,FALSE),"")</f>
        <v/>
      </c>
      <c r="F526" s="93">
        <f t="shared" si="2"/>
        <v>0</v>
      </c>
      <c r="I526" s="173" t="str">
        <f>IFERROR(vlookup(A525,TSM!A:Q,2,FALSE),"")</f>
        <v/>
      </c>
      <c r="M526" s="93">
        <f t="shared" si="4"/>
        <v>0</v>
      </c>
    </row>
    <row r="527">
      <c r="B527" s="173" t="str">
        <f>IFERROR(vlookup(A527,TSM!A:Q,8,FALSE),"")</f>
        <v/>
      </c>
      <c r="F527" s="93">
        <f t="shared" si="2"/>
        <v>0</v>
      </c>
      <c r="I527" s="173" t="str">
        <f>IFERROR(vlookup(A526,TSM!A:Q,2,FALSE),"")</f>
        <v/>
      </c>
      <c r="M527" s="93">
        <f t="shared" si="4"/>
        <v>0</v>
      </c>
    </row>
    <row r="528">
      <c r="B528" s="173" t="str">
        <f>IFERROR(vlookup(A528,TSM!A:Q,8,FALSE),"")</f>
        <v/>
      </c>
      <c r="F528" s="93">
        <f t="shared" si="2"/>
        <v>0</v>
      </c>
      <c r="I528" s="173" t="str">
        <f>IFERROR(vlookup(A527,TSM!A:Q,2,FALSE),"")</f>
        <v/>
      </c>
      <c r="M528" s="93">
        <f t="shared" si="4"/>
        <v>0</v>
      </c>
    </row>
    <row r="529">
      <c r="B529" s="173" t="str">
        <f>IFERROR(vlookup(A529,TSM!A:Q,8,FALSE),"")</f>
        <v/>
      </c>
      <c r="F529" s="93">
        <f t="shared" si="2"/>
        <v>0</v>
      </c>
      <c r="I529" s="173" t="str">
        <f>IFERROR(vlookup(A528,TSM!A:Q,2,FALSE),"")</f>
        <v/>
      </c>
      <c r="M529" s="93">
        <f t="shared" si="4"/>
        <v>0</v>
      </c>
    </row>
    <row r="530">
      <c r="B530" s="173" t="str">
        <f>IFERROR(vlookup(A530,TSM!A:Q,8,FALSE),"")</f>
        <v/>
      </c>
      <c r="F530" s="93">
        <f t="shared" si="2"/>
        <v>0</v>
      </c>
      <c r="I530" s="173" t="str">
        <f>IFERROR(vlookup(A529,TSM!A:Q,2,FALSE),"")</f>
        <v/>
      </c>
      <c r="M530" s="93">
        <f t="shared" si="4"/>
        <v>0</v>
      </c>
    </row>
    <row r="531">
      <c r="B531" s="173" t="str">
        <f>IFERROR(vlookup(A531,TSM!A:Q,8,FALSE),"")</f>
        <v/>
      </c>
      <c r="F531" s="93">
        <f t="shared" si="2"/>
        <v>0</v>
      </c>
      <c r="I531" s="173" t="str">
        <f>IFERROR(vlookup(A530,TSM!A:Q,2,FALSE),"")</f>
        <v/>
      </c>
      <c r="M531" s="93">
        <f t="shared" si="4"/>
        <v>0</v>
      </c>
    </row>
    <row r="532">
      <c r="B532" s="173" t="str">
        <f>IFERROR(vlookup(A532,TSM!A:Q,8,FALSE),"")</f>
        <v/>
      </c>
      <c r="F532" s="93">
        <f t="shared" si="2"/>
        <v>0</v>
      </c>
      <c r="I532" s="173" t="str">
        <f>IFERROR(vlookup(A531,TSM!A:Q,2,FALSE),"")</f>
        <v/>
      </c>
      <c r="M532" s="93">
        <f t="shared" si="4"/>
        <v>0</v>
      </c>
    </row>
    <row r="533">
      <c r="B533" s="173" t="str">
        <f>IFERROR(vlookup(A533,TSM!A:Q,8,FALSE),"")</f>
        <v/>
      </c>
      <c r="F533" s="93">
        <f t="shared" si="2"/>
        <v>0</v>
      </c>
      <c r="I533" s="173" t="str">
        <f>IFERROR(vlookup(A532,TSM!A:Q,2,FALSE),"")</f>
        <v/>
      </c>
      <c r="M533" s="93">
        <f t="shared" si="4"/>
        <v>0</v>
      </c>
    </row>
    <row r="534">
      <c r="B534" s="173" t="str">
        <f>IFERROR(vlookup(A534,TSM!A:Q,8,FALSE),"")</f>
        <v/>
      </c>
      <c r="F534" s="93">
        <f t="shared" si="2"/>
        <v>0</v>
      </c>
      <c r="I534" s="173" t="str">
        <f>IFERROR(vlookup(A533,TSM!A:Q,2,FALSE),"")</f>
        <v/>
      </c>
      <c r="M534" s="93">
        <f t="shared" si="4"/>
        <v>0</v>
      </c>
    </row>
    <row r="535">
      <c r="B535" s="173" t="str">
        <f>IFERROR(vlookup(A535,TSM!A:Q,8,FALSE),"")</f>
        <v/>
      </c>
      <c r="F535" s="93">
        <f t="shared" si="2"/>
        <v>0</v>
      </c>
      <c r="I535" s="173" t="str">
        <f>IFERROR(vlookup(A534,TSM!A:Q,2,FALSE),"")</f>
        <v/>
      </c>
      <c r="M535" s="93">
        <f t="shared" si="4"/>
        <v>0</v>
      </c>
    </row>
    <row r="536">
      <c r="B536" s="173" t="str">
        <f>IFERROR(vlookup(A536,TSM!A:Q,8,FALSE),"")</f>
        <v/>
      </c>
      <c r="F536" s="93">
        <f t="shared" si="2"/>
        <v>0</v>
      </c>
      <c r="I536" s="173" t="str">
        <f>IFERROR(vlookup(A535,TSM!A:Q,2,FALSE),"")</f>
        <v/>
      </c>
      <c r="M536" s="93">
        <f t="shared" si="4"/>
        <v>0</v>
      </c>
    </row>
    <row r="537">
      <c r="B537" s="173" t="str">
        <f>IFERROR(vlookup(A537,TSM!A:Q,8,FALSE),"")</f>
        <v/>
      </c>
      <c r="F537" s="93">
        <f t="shared" si="2"/>
        <v>0</v>
      </c>
      <c r="I537" s="173" t="str">
        <f>IFERROR(vlookup(A536,TSM!A:Q,2,FALSE),"")</f>
        <v/>
      </c>
      <c r="M537" s="93">
        <f t="shared" si="4"/>
        <v>0</v>
      </c>
    </row>
    <row r="538">
      <c r="B538" s="173" t="str">
        <f>IFERROR(vlookup(A538,TSM!A:Q,8,FALSE),"")</f>
        <v/>
      </c>
      <c r="F538" s="93">
        <f t="shared" si="2"/>
        <v>0</v>
      </c>
      <c r="I538" s="173" t="str">
        <f>IFERROR(vlookup(A537,TSM!A:Q,2,FALSE),"")</f>
        <v/>
      </c>
      <c r="M538" s="93">
        <f t="shared" si="4"/>
        <v>0</v>
      </c>
    </row>
    <row r="539">
      <c r="B539" s="173" t="str">
        <f>IFERROR(vlookup(A539,TSM!A:Q,8,FALSE),"")</f>
        <v/>
      </c>
      <c r="F539" s="93">
        <f t="shared" si="2"/>
        <v>0</v>
      </c>
      <c r="I539" s="173" t="str">
        <f>IFERROR(vlookup(A538,TSM!A:Q,2,FALSE),"")</f>
        <v/>
      </c>
      <c r="M539" s="93">
        <f t="shared" si="4"/>
        <v>0</v>
      </c>
    </row>
    <row r="540">
      <c r="B540" s="173" t="str">
        <f>IFERROR(vlookup(A540,TSM!A:Q,8,FALSE),"")</f>
        <v/>
      </c>
      <c r="F540" s="93">
        <f t="shared" si="2"/>
        <v>0</v>
      </c>
      <c r="I540" s="173" t="str">
        <f>IFERROR(vlookup(A539,TSM!A:Q,2,FALSE),"")</f>
        <v/>
      </c>
      <c r="M540" s="93">
        <f t="shared" si="4"/>
        <v>0</v>
      </c>
    </row>
    <row r="541">
      <c r="B541" s="173" t="str">
        <f>IFERROR(vlookup(A541,TSM!A:Q,8,FALSE),"")</f>
        <v/>
      </c>
      <c r="F541" s="93">
        <f t="shared" si="2"/>
        <v>0</v>
      </c>
      <c r="I541" s="173" t="str">
        <f>IFERROR(vlookup(A540,TSM!A:Q,2,FALSE),"")</f>
        <v/>
      </c>
      <c r="M541" s="93">
        <f t="shared" si="4"/>
        <v>0</v>
      </c>
    </row>
    <row r="542">
      <c r="B542" s="173" t="str">
        <f>IFERROR(vlookup(A542,TSM!A:Q,8,FALSE),"")</f>
        <v/>
      </c>
      <c r="F542" s="93">
        <f t="shared" si="2"/>
        <v>0</v>
      </c>
      <c r="I542" s="173" t="str">
        <f>IFERROR(vlookup(A541,TSM!A:Q,2,FALSE),"")</f>
        <v/>
      </c>
      <c r="M542" s="93">
        <f t="shared" si="4"/>
        <v>0</v>
      </c>
    </row>
    <row r="543">
      <c r="B543" s="173" t="str">
        <f>IFERROR(vlookup(A543,TSM!A:Q,8,FALSE),"")</f>
        <v/>
      </c>
      <c r="F543" s="93">
        <f t="shared" si="2"/>
        <v>0</v>
      </c>
      <c r="I543" s="173" t="str">
        <f>IFERROR(vlookup(A542,TSM!A:Q,2,FALSE),"")</f>
        <v/>
      </c>
      <c r="M543" s="93">
        <f t="shared" si="4"/>
        <v>0</v>
      </c>
    </row>
    <row r="544">
      <c r="B544" s="173" t="str">
        <f>IFERROR(vlookup(A544,TSM!A:Q,8,FALSE),"")</f>
        <v/>
      </c>
      <c r="F544" s="93">
        <f t="shared" si="2"/>
        <v>0</v>
      </c>
      <c r="I544" s="173" t="str">
        <f>IFERROR(vlookup(A543,TSM!A:Q,2,FALSE),"")</f>
        <v/>
      </c>
      <c r="M544" s="93">
        <f t="shared" si="4"/>
        <v>0</v>
      </c>
    </row>
    <row r="545">
      <c r="B545" s="173" t="str">
        <f>IFERROR(vlookup(A545,TSM!A:Q,8,FALSE),"")</f>
        <v/>
      </c>
      <c r="F545" s="93">
        <f t="shared" si="2"/>
        <v>0</v>
      </c>
      <c r="I545" s="173" t="str">
        <f>IFERROR(vlookup(A544,TSM!A:Q,2,FALSE),"")</f>
        <v/>
      </c>
      <c r="M545" s="93">
        <f t="shared" si="4"/>
        <v>0</v>
      </c>
    </row>
    <row r="546">
      <c r="B546" s="173" t="str">
        <f>IFERROR(vlookup(A546,TSM!A:Q,8,FALSE),"")</f>
        <v/>
      </c>
      <c r="F546" s="93">
        <f t="shared" si="2"/>
        <v>0</v>
      </c>
      <c r="I546" s="173" t="str">
        <f>IFERROR(vlookup(A545,TSM!A:Q,2,FALSE),"")</f>
        <v/>
      </c>
      <c r="M546" s="93">
        <f t="shared" si="4"/>
        <v>0</v>
      </c>
    </row>
    <row r="547">
      <c r="B547" s="173" t="str">
        <f>IFERROR(vlookup(A547,TSM!A:Q,8,FALSE),"")</f>
        <v/>
      </c>
      <c r="F547" s="93">
        <f t="shared" si="2"/>
        <v>0</v>
      </c>
      <c r="I547" s="173" t="str">
        <f>IFERROR(vlookup(A546,TSM!A:Q,2,FALSE),"")</f>
        <v/>
      </c>
      <c r="M547" s="93">
        <f t="shared" si="4"/>
        <v>0</v>
      </c>
    </row>
    <row r="548">
      <c r="B548" s="173" t="str">
        <f>IFERROR(vlookup(A548,TSM!A:Q,8,FALSE),"")</f>
        <v/>
      </c>
      <c r="F548" s="93">
        <f t="shared" si="2"/>
        <v>0</v>
      </c>
      <c r="I548" s="173" t="str">
        <f>IFERROR(vlookup(A547,TSM!A:Q,2,FALSE),"")</f>
        <v/>
      </c>
      <c r="M548" s="93">
        <f t="shared" si="4"/>
        <v>0</v>
      </c>
    </row>
    <row r="549">
      <c r="B549" s="173" t="str">
        <f>IFERROR(vlookup(A549,TSM!A:Q,8,FALSE),"")</f>
        <v/>
      </c>
      <c r="F549" s="93">
        <f t="shared" si="2"/>
        <v>0</v>
      </c>
      <c r="I549" s="173" t="str">
        <f>IFERROR(vlookup(A548,TSM!A:Q,2,FALSE),"")</f>
        <v/>
      </c>
      <c r="M549" s="93">
        <f t="shared" si="4"/>
        <v>0</v>
      </c>
    </row>
    <row r="550">
      <c r="B550" s="173" t="str">
        <f>IFERROR(vlookup(A550,TSM!A:Q,8,FALSE),"")</f>
        <v/>
      </c>
      <c r="F550" s="93">
        <f t="shared" si="2"/>
        <v>0</v>
      </c>
      <c r="I550" s="173" t="str">
        <f>IFERROR(vlookup(A549,TSM!A:Q,2,FALSE),"")</f>
        <v/>
      </c>
      <c r="M550" s="93">
        <f t="shared" si="4"/>
        <v>0</v>
      </c>
    </row>
    <row r="551">
      <c r="B551" s="173" t="str">
        <f>IFERROR(vlookup(A551,TSM!A:Q,8,FALSE),"")</f>
        <v/>
      </c>
      <c r="F551" s="93">
        <f t="shared" si="2"/>
        <v>0</v>
      </c>
      <c r="I551" s="173" t="str">
        <f>IFERROR(vlookup(A550,TSM!A:Q,2,FALSE),"")</f>
        <v/>
      </c>
      <c r="M551" s="93">
        <f t="shared" si="4"/>
        <v>0</v>
      </c>
    </row>
    <row r="552">
      <c r="B552" s="173" t="str">
        <f>IFERROR(vlookup(A552,TSM!A:Q,8,FALSE),"")</f>
        <v/>
      </c>
      <c r="F552" s="93">
        <f t="shared" si="2"/>
        <v>0</v>
      </c>
      <c r="I552" s="173" t="str">
        <f>IFERROR(vlookup(A551,TSM!A:Q,2,FALSE),"")</f>
        <v/>
      </c>
      <c r="M552" s="93">
        <f t="shared" si="4"/>
        <v>0</v>
      </c>
    </row>
    <row r="553">
      <c r="B553" s="173" t="str">
        <f>IFERROR(vlookup(A553,TSM!A:Q,8,FALSE),"")</f>
        <v/>
      </c>
      <c r="F553" s="93">
        <f t="shared" si="2"/>
        <v>0</v>
      </c>
      <c r="I553" s="173" t="str">
        <f>IFERROR(vlookup(A552,TSM!A:Q,2,FALSE),"")</f>
        <v/>
      </c>
      <c r="M553" s="93">
        <f t="shared" si="4"/>
        <v>0</v>
      </c>
    </row>
    <row r="554">
      <c r="B554" s="173" t="str">
        <f>IFERROR(vlookup(A554,TSM!A:Q,8,FALSE),"")</f>
        <v/>
      </c>
      <c r="F554" s="93">
        <f t="shared" si="2"/>
        <v>0</v>
      </c>
      <c r="I554" s="173" t="str">
        <f>IFERROR(vlookup(A553,TSM!A:Q,2,FALSE),"")</f>
        <v/>
      </c>
      <c r="M554" s="93">
        <f t="shared" si="4"/>
        <v>0</v>
      </c>
    </row>
    <row r="555">
      <c r="B555" s="173" t="str">
        <f>IFERROR(vlookup(A555,TSM!A:Q,8,FALSE),"")</f>
        <v/>
      </c>
      <c r="F555" s="93">
        <f t="shared" si="2"/>
        <v>0</v>
      </c>
      <c r="I555" s="173" t="str">
        <f>IFERROR(vlookup(A554,TSM!A:Q,2,FALSE),"")</f>
        <v/>
      </c>
      <c r="M555" s="93">
        <f t="shared" si="4"/>
        <v>0</v>
      </c>
    </row>
    <row r="556">
      <c r="B556" s="173" t="str">
        <f>IFERROR(vlookup(A556,TSM!A:Q,8,FALSE),"")</f>
        <v/>
      </c>
      <c r="F556" s="93">
        <f t="shared" si="2"/>
        <v>0</v>
      </c>
      <c r="I556" s="173" t="str">
        <f>IFERROR(vlookup(A555,TSM!A:Q,2,FALSE),"")</f>
        <v/>
      </c>
      <c r="M556" s="93">
        <f t="shared" si="4"/>
        <v>0</v>
      </c>
    </row>
    <row r="557">
      <c r="B557" s="173" t="str">
        <f>IFERROR(vlookup(A557,TSM!A:Q,8,FALSE),"")</f>
        <v/>
      </c>
      <c r="F557" s="93">
        <f t="shared" si="2"/>
        <v>0</v>
      </c>
      <c r="I557" s="173" t="str">
        <f>IFERROR(vlookup(A556,TSM!A:Q,2,FALSE),"")</f>
        <v/>
      </c>
      <c r="M557" s="93">
        <f t="shared" si="4"/>
        <v>0</v>
      </c>
    </row>
    <row r="558">
      <c r="B558" s="173" t="str">
        <f>IFERROR(vlookup(A558,TSM!A:Q,8,FALSE),"")</f>
        <v/>
      </c>
      <c r="F558" s="93">
        <f t="shared" si="2"/>
        <v>0</v>
      </c>
      <c r="I558" s="173" t="str">
        <f>IFERROR(vlookup(A557,TSM!A:Q,2,FALSE),"")</f>
        <v/>
      </c>
      <c r="M558" s="93">
        <f t="shared" si="4"/>
        <v>0</v>
      </c>
    </row>
    <row r="559">
      <c r="B559" s="173" t="str">
        <f>IFERROR(vlookup(A559,TSM!A:Q,8,FALSE),"")</f>
        <v/>
      </c>
      <c r="F559" s="93">
        <f t="shared" si="2"/>
        <v>0</v>
      </c>
      <c r="I559" s="173" t="str">
        <f>IFERROR(vlookup(A558,TSM!A:Q,2,FALSE),"")</f>
        <v/>
      </c>
      <c r="M559" s="93">
        <f t="shared" si="4"/>
        <v>0</v>
      </c>
    </row>
    <row r="560">
      <c r="B560" s="173" t="str">
        <f>IFERROR(vlookup(A560,TSM!A:Q,8,FALSE),"")</f>
        <v/>
      </c>
      <c r="F560" s="93">
        <f t="shared" si="2"/>
        <v>0</v>
      </c>
      <c r="I560" s="173" t="str">
        <f>IFERROR(vlookup(A559,TSM!A:Q,2,FALSE),"")</f>
        <v/>
      </c>
      <c r="M560" s="93">
        <f t="shared" si="4"/>
        <v>0</v>
      </c>
    </row>
    <row r="561">
      <c r="B561" s="173" t="str">
        <f>IFERROR(vlookup(A561,TSM!A:Q,8,FALSE),"")</f>
        <v/>
      </c>
      <c r="F561" s="93">
        <f t="shared" si="2"/>
        <v>0</v>
      </c>
      <c r="I561" s="173" t="str">
        <f>IFERROR(vlookup(A560,TSM!A:Q,2,FALSE),"")</f>
        <v/>
      </c>
      <c r="M561" s="93">
        <f t="shared" si="4"/>
        <v>0</v>
      </c>
    </row>
    <row r="562">
      <c r="B562" s="173" t="str">
        <f>IFERROR(vlookup(A562,TSM!A:Q,8,FALSE),"")</f>
        <v/>
      </c>
      <c r="F562" s="93">
        <f t="shared" si="2"/>
        <v>0</v>
      </c>
      <c r="I562" s="173" t="str">
        <f>IFERROR(vlookup(A561,TSM!A:Q,2,FALSE),"")</f>
        <v/>
      </c>
      <c r="M562" s="93">
        <f t="shared" si="4"/>
        <v>0</v>
      </c>
    </row>
    <row r="563">
      <c r="B563" s="173" t="str">
        <f>IFERROR(vlookup(A563,TSM!A:Q,8,FALSE),"")</f>
        <v/>
      </c>
      <c r="F563" s="93">
        <f t="shared" si="2"/>
        <v>0</v>
      </c>
      <c r="I563" s="173" t="str">
        <f>IFERROR(vlookup(A562,TSM!A:Q,2,FALSE),"")</f>
        <v/>
      </c>
      <c r="M563" s="93">
        <f t="shared" si="4"/>
        <v>0</v>
      </c>
    </row>
    <row r="564">
      <c r="B564" s="173" t="str">
        <f>IFERROR(vlookup(A564,TSM!A:Q,8,FALSE),"")</f>
        <v/>
      </c>
      <c r="F564" s="93">
        <f t="shared" si="2"/>
        <v>0</v>
      </c>
      <c r="I564" s="173" t="str">
        <f>IFERROR(vlookup(A563,TSM!A:Q,2,FALSE),"")</f>
        <v/>
      </c>
      <c r="M564" s="93">
        <f t="shared" si="4"/>
        <v>0</v>
      </c>
    </row>
    <row r="565">
      <c r="B565" s="173" t="str">
        <f>IFERROR(vlookup(A565,TSM!A:Q,8,FALSE),"")</f>
        <v/>
      </c>
      <c r="F565" s="93">
        <f t="shared" si="2"/>
        <v>0</v>
      </c>
      <c r="I565" s="173" t="str">
        <f>IFERROR(vlookup(A564,TSM!A:Q,2,FALSE),"")</f>
        <v/>
      </c>
      <c r="M565" s="93">
        <f t="shared" si="4"/>
        <v>0</v>
      </c>
    </row>
    <row r="566">
      <c r="B566" s="173" t="str">
        <f>IFERROR(vlookup(A566,TSM!A:Q,8,FALSE),"")</f>
        <v/>
      </c>
      <c r="F566" s="93">
        <f t="shared" si="2"/>
        <v>0</v>
      </c>
      <c r="I566" s="173" t="str">
        <f>IFERROR(vlookup(A565,TSM!A:Q,2,FALSE),"")</f>
        <v/>
      </c>
      <c r="M566" s="93">
        <f t="shared" si="4"/>
        <v>0</v>
      </c>
    </row>
    <row r="567">
      <c r="B567" s="173" t="str">
        <f>IFERROR(vlookup(A567,TSM!A:Q,8,FALSE),"")</f>
        <v/>
      </c>
      <c r="F567" s="93">
        <f t="shared" si="2"/>
        <v>0</v>
      </c>
      <c r="I567" s="173" t="str">
        <f>IFERROR(vlookup(A566,TSM!A:Q,2,FALSE),"")</f>
        <v/>
      </c>
      <c r="M567" s="93">
        <f t="shared" si="4"/>
        <v>0</v>
      </c>
    </row>
    <row r="568">
      <c r="B568" s="173" t="str">
        <f>IFERROR(vlookup(A568,TSM!A:Q,8,FALSE),"")</f>
        <v/>
      </c>
      <c r="F568" s="93">
        <f t="shared" si="2"/>
        <v>0</v>
      </c>
      <c r="I568" s="173" t="str">
        <f>IFERROR(vlookup(A567,TSM!A:Q,2,FALSE),"")</f>
        <v/>
      </c>
      <c r="M568" s="93">
        <f t="shared" si="4"/>
        <v>0</v>
      </c>
    </row>
    <row r="569">
      <c r="B569" s="173" t="str">
        <f>IFERROR(vlookup(A569,TSM!A:Q,8,FALSE),"")</f>
        <v/>
      </c>
      <c r="F569" s="93">
        <f t="shared" si="2"/>
        <v>0</v>
      </c>
      <c r="I569" s="173" t="str">
        <f>IFERROR(vlookup(A568,TSM!A:Q,2,FALSE),"")</f>
        <v/>
      </c>
      <c r="M569" s="93">
        <f t="shared" si="4"/>
        <v>0</v>
      </c>
    </row>
    <row r="570">
      <c r="B570" s="173" t="str">
        <f>IFERROR(vlookup(A570,TSM!A:Q,8,FALSE),"")</f>
        <v/>
      </c>
      <c r="F570" s="93">
        <f t="shared" si="2"/>
        <v>0</v>
      </c>
      <c r="I570" s="173" t="str">
        <f>IFERROR(vlookup(A569,TSM!A:Q,2,FALSE),"")</f>
        <v/>
      </c>
      <c r="M570" s="93">
        <f t="shared" si="4"/>
        <v>0</v>
      </c>
    </row>
    <row r="571">
      <c r="B571" s="173" t="str">
        <f>IFERROR(vlookup(A571,TSM!A:Q,8,FALSE),"")</f>
        <v/>
      </c>
      <c r="F571" s="93">
        <f t="shared" si="2"/>
        <v>0</v>
      </c>
      <c r="I571" s="173" t="str">
        <f>IFERROR(vlookup(A570,TSM!A:Q,2,FALSE),"")</f>
        <v/>
      </c>
      <c r="M571" s="93">
        <f t="shared" si="4"/>
        <v>0</v>
      </c>
    </row>
    <row r="572">
      <c r="B572" s="173" t="str">
        <f>IFERROR(vlookup(A572,TSM!A:Q,8,FALSE),"")</f>
        <v/>
      </c>
      <c r="F572" s="93">
        <f t="shared" si="2"/>
        <v>0</v>
      </c>
      <c r="I572" s="173" t="str">
        <f>IFERROR(vlookup(A571,TSM!A:Q,2,FALSE),"")</f>
        <v/>
      </c>
      <c r="M572" s="93">
        <f t="shared" si="4"/>
        <v>0</v>
      </c>
    </row>
    <row r="573">
      <c r="B573" s="173" t="str">
        <f>IFERROR(vlookup(A573,TSM!A:Q,8,FALSE),"")</f>
        <v/>
      </c>
      <c r="F573" s="93">
        <f t="shared" si="2"/>
        <v>0</v>
      </c>
      <c r="I573" s="173" t="str">
        <f>IFERROR(vlookup(A572,TSM!A:Q,2,FALSE),"")</f>
        <v/>
      </c>
      <c r="M573" s="93">
        <f t="shared" si="4"/>
        <v>0</v>
      </c>
    </row>
    <row r="574">
      <c r="B574" s="173" t="str">
        <f>IFERROR(vlookup(A574,TSM!A:Q,8,FALSE),"")</f>
        <v/>
      </c>
      <c r="F574" s="93">
        <f t="shared" si="2"/>
        <v>0</v>
      </c>
      <c r="I574" s="173" t="str">
        <f>IFERROR(vlookup(A573,TSM!A:Q,2,FALSE),"")</f>
        <v/>
      </c>
      <c r="M574" s="93">
        <f t="shared" si="4"/>
        <v>0</v>
      </c>
    </row>
    <row r="575">
      <c r="B575" s="173" t="str">
        <f>IFERROR(vlookup(A575,TSM!A:Q,8,FALSE),"")</f>
        <v/>
      </c>
      <c r="F575" s="93">
        <f t="shared" si="2"/>
        <v>0</v>
      </c>
      <c r="I575" s="173" t="str">
        <f>IFERROR(vlookup(A574,TSM!A:Q,2,FALSE),"")</f>
        <v/>
      </c>
      <c r="M575" s="93">
        <f t="shared" si="4"/>
        <v>0</v>
      </c>
    </row>
    <row r="576">
      <c r="B576" s="173" t="str">
        <f>IFERROR(vlookup(A576,TSM!A:Q,8,FALSE),"")</f>
        <v/>
      </c>
      <c r="F576" s="93">
        <f t="shared" si="2"/>
        <v>0</v>
      </c>
      <c r="I576" s="173" t="str">
        <f>IFERROR(vlookup(A575,TSM!A:Q,2,FALSE),"")</f>
        <v/>
      </c>
      <c r="M576" s="93">
        <f t="shared" si="4"/>
        <v>0</v>
      </c>
    </row>
    <row r="577">
      <c r="B577" s="173" t="str">
        <f>IFERROR(vlookup(A577,TSM!A:Q,8,FALSE),"")</f>
        <v/>
      </c>
      <c r="F577" s="93">
        <f t="shared" si="2"/>
        <v>0</v>
      </c>
      <c r="I577" s="173" t="str">
        <f>IFERROR(vlookup(A576,TSM!A:Q,2,FALSE),"")</f>
        <v/>
      </c>
      <c r="M577" s="93">
        <f t="shared" si="4"/>
        <v>0</v>
      </c>
    </row>
    <row r="578">
      <c r="B578" s="173" t="str">
        <f>IFERROR(vlookup(A578,TSM!A:Q,8,FALSE),"")</f>
        <v/>
      </c>
      <c r="F578" s="93">
        <f t="shared" si="2"/>
        <v>0</v>
      </c>
      <c r="I578" s="173" t="str">
        <f>IFERROR(vlookup(A577,TSM!A:Q,2,FALSE),"")</f>
        <v/>
      </c>
      <c r="M578" s="93">
        <f t="shared" si="4"/>
        <v>0</v>
      </c>
    </row>
    <row r="579">
      <c r="B579" s="173" t="str">
        <f>IFERROR(vlookup(A579,TSM!A:Q,8,FALSE),"")</f>
        <v/>
      </c>
      <c r="F579" s="93">
        <f t="shared" si="2"/>
        <v>0</v>
      </c>
      <c r="I579" s="173" t="str">
        <f>IFERROR(vlookup(A578,TSM!A:Q,2,FALSE),"")</f>
        <v/>
      </c>
      <c r="M579" s="93">
        <f t="shared" si="4"/>
        <v>0</v>
      </c>
    </row>
    <row r="580">
      <c r="B580" s="173" t="str">
        <f>IFERROR(vlookup(A580,TSM!A:Q,8,FALSE),"")</f>
        <v/>
      </c>
      <c r="F580" s="93">
        <f t="shared" si="2"/>
        <v>0</v>
      </c>
      <c r="I580" s="173" t="str">
        <f>IFERROR(vlookup(A579,TSM!A:Q,2,FALSE),"")</f>
        <v/>
      </c>
      <c r="M580" s="93">
        <f t="shared" si="4"/>
        <v>0</v>
      </c>
    </row>
    <row r="581">
      <c r="B581" s="173" t="str">
        <f>IFERROR(vlookup(A581,TSM!A:Q,8,FALSE),"")</f>
        <v/>
      </c>
      <c r="F581" s="93">
        <f t="shared" si="2"/>
        <v>0</v>
      </c>
      <c r="I581" s="173" t="str">
        <f>IFERROR(vlookup(A580,TSM!A:Q,2,FALSE),"")</f>
        <v/>
      </c>
      <c r="M581" s="93">
        <f t="shared" si="4"/>
        <v>0</v>
      </c>
    </row>
    <row r="582">
      <c r="B582" s="173" t="str">
        <f>IFERROR(vlookup(A582,TSM!A:Q,8,FALSE),"")</f>
        <v/>
      </c>
      <c r="F582" s="93">
        <f t="shared" si="2"/>
        <v>0</v>
      </c>
      <c r="I582" s="173" t="str">
        <f>IFERROR(vlookup(A581,TSM!A:Q,2,FALSE),"")</f>
        <v/>
      </c>
      <c r="M582" s="93">
        <f t="shared" si="4"/>
        <v>0</v>
      </c>
    </row>
    <row r="583">
      <c r="B583" s="173" t="str">
        <f>IFERROR(vlookup(A583,TSM!A:Q,8,FALSE),"")</f>
        <v/>
      </c>
      <c r="F583" s="93">
        <f t="shared" si="2"/>
        <v>0</v>
      </c>
      <c r="I583" s="173" t="str">
        <f>IFERROR(vlookup(A582,TSM!A:Q,2,FALSE),"")</f>
        <v/>
      </c>
      <c r="M583" s="93">
        <f t="shared" si="4"/>
        <v>0</v>
      </c>
    </row>
    <row r="584">
      <c r="B584" s="173" t="str">
        <f>IFERROR(vlookup(A584,TSM!A:Q,8,FALSE),"")</f>
        <v/>
      </c>
      <c r="F584" s="93">
        <f t="shared" si="2"/>
        <v>0</v>
      </c>
      <c r="I584" s="173" t="str">
        <f>IFERROR(vlookup(A583,TSM!A:Q,2,FALSE),"")</f>
        <v/>
      </c>
      <c r="M584" s="93">
        <f t="shared" si="4"/>
        <v>0</v>
      </c>
    </row>
    <row r="585">
      <c r="B585" s="173" t="str">
        <f>IFERROR(vlookup(A585,TSM!A:Q,8,FALSE),"")</f>
        <v/>
      </c>
      <c r="F585" s="93">
        <f t="shared" si="2"/>
        <v>0</v>
      </c>
      <c r="I585" s="173" t="str">
        <f>IFERROR(vlookup(A584,TSM!A:Q,2,FALSE),"")</f>
        <v/>
      </c>
      <c r="M585" s="93">
        <f t="shared" si="4"/>
        <v>0</v>
      </c>
    </row>
    <row r="586">
      <c r="B586" s="173" t="str">
        <f>IFERROR(vlookup(A586,TSM!A:Q,8,FALSE),"")</f>
        <v/>
      </c>
      <c r="F586" s="93">
        <f t="shared" si="2"/>
        <v>0</v>
      </c>
      <c r="I586" s="173" t="str">
        <f>IFERROR(vlookup(A585,TSM!A:Q,2,FALSE),"")</f>
        <v/>
      </c>
      <c r="M586" s="93">
        <f t="shared" si="4"/>
        <v>0</v>
      </c>
    </row>
    <row r="587">
      <c r="B587" s="173" t="str">
        <f>IFERROR(vlookup(A587,TSM!A:Q,8,FALSE),"")</f>
        <v/>
      </c>
      <c r="F587" s="93">
        <f t="shared" si="2"/>
        <v>0</v>
      </c>
      <c r="I587" s="173" t="str">
        <f>IFERROR(vlookup(A586,TSM!A:Q,2,FALSE),"")</f>
        <v/>
      </c>
      <c r="M587" s="93">
        <f t="shared" si="4"/>
        <v>0</v>
      </c>
    </row>
    <row r="588">
      <c r="B588" s="173" t="str">
        <f>IFERROR(vlookup(A588,TSM!A:Q,8,FALSE),"")</f>
        <v/>
      </c>
      <c r="F588" s="93">
        <f t="shared" si="2"/>
        <v>0</v>
      </c>
      <c r="I588" s="173" t="str">
        <f>IFERROR(vlookup(A587,TSM!A:Q,2,FALSE),"")</f>
        <v/>
      </c>
      <c r="M588" s="93">
        <f t="shared" si="4"/>
        <v>0</v>
      </c>
    </row>
    <row r="589">
      <c r="B589" s="173" t="str">
        <f>IFERROR(vlookup(A589,TSM!A:Q,8,FALSE),"")</f>
        <v/>
      </c>
      <c r="F589" s="93">
        <f t="shared" si="2"/>
        <v>0</v>
      </c>
      <c r="I589" s="173" t="str">
        <f>IFERROR(vlookup(A588,TSM!A:Q,2,FALSE),"")</f>
        <v/>
      </c>
      <c r="M589" s="93">
        <f t="shared" si="4"/>
        <v>0</v>
      </c>
    </row>
    <row r="590">
      <c r="B590" s="173" t="str">
        <f>IFERROR(vlookup(A590,TSM!A:Q,8,FALSE),"")</f>
        <v/>
      </c>
      <c r="F590" s="93">
        <f t="shared" si="2"/>
        <v>0</v>
      </c>
      <c r="I590" s="173" t="str">
        <f>IFERROR(vlookup(A589,TSM!A:Q,2,FALSE),"")</f>
        <v/>
      </c>
      <c r="M590" s="93">
        <f t="shared" si="4"/>
        <v>0</v>
      </c>
    </row>
    <row r="591">
      <c r="B591" s="173" t="str">
        <f>IFERROR(vlookup(A591,TSM!A:Q,8,FALSE),"")</f>
        <v/>
      </c>
      <c r="F591" s="93">
        <f t="shared" si="2"/>
        <v>0</v>
      </c>
      <c r="I591" s="173" t="str">
        <f>IFERROR(vlookup(A590,TSM!A:Q,2,FALSE),"")</f>
        <v/>
      </c>
      <c r="M591" s="93">
        <f t="shared" si="4"/>
        <v>0</v>
      </c>
    </row>
    <row r="592">
      <c r="B592" s="173" t="str">
        <f>IFERROR(vlookup(A592,TSM!A:Q,8,FALSE),"")</f>
        <v/>
      </c>
      <c r="F592" s="93">
        <f t="shared" si="2"/>
        <v>0</v>
      </c>
      <c r="I592" s="173" t="str">
        <f>IFERROR(vlookup(A591,TSM!A:Q,2,FALSE),"")</f>
        <v/>
      </c>
      <c r="M592" s="93">
        <f t="shared" si="4"/>
        <v>0</v>
      </c>
    </row>
    <row r="593">
      <c r="B593" s="173" t="str">
        <f>IFERROR(vlookup(A593,TSM!A:Q,8,FALSE),"")</f>
        <v/>
      </c>
      <c r="F593" s="93">
        <f t="shared" si="2"/>
        <v>0</v>
      </c>
      <c r="I593" s="173" t="str">
        <f>IFERROR(vlookup(A592,TSM!A:Q,2,FALSE),"")</f>
        <v/>
      </c>
      <c r="M593" s="93">
        <f t="shared" si="4"/>
        <v>0</v>
      </c>
    </row>
    <row r="594">
      <c r="B594" s="173" t="str">
        <f>IFERROR(vlookup(A594,TSM!A:Q,8,FALSE),"")</f>
        <v/>
      </c>
      <c r="F594" s="93">
        <f t="shared" si="2"/>
        <v>0</v>
      </c>
      <c r="I594" s="173" t="str">
        <f>IFERROR(vlookup(A593,TSM!A:Q,2,FALSE),"")</f>
        <v/>
      </c>
      <c r="M594" s="93">
        <f t="shared" si="4"/>
        <v>0</v>
      </c>
    </row>
    <row r="595">
      <c r="B595" s="173" t="str">
        <f>IFERROR(vlookup(A595,TSM!A:Q,8,FALSE),"")</f>
        <v/>
      </c>
      <c r="F595" s="93">
        <f t="shared" si="2"/>
        <v>0</v>
      </c>
      <c r="I595" s="173" t="str">
        <f>IFERROR(vlookup(A594,TSM!A:Q,2,FALSE),"")</f>
        <v/>
      </c>
      <c r="M595" s="93">
        <f t="shared" si="4"/>
        <v>0</v>
      </c>
    </row>
    <row r="596">
      <c r="B596" s="173" t="str">
        <f>IFERROR(vlookup(A596,TSM!A:Q,8,FALSE),"")</f>
        <v/>
      </c>
      <c r="F596" s="93">
        <f t="shared" si="2"/>
        <v>0</v>
      </c>
      <c r="I596" s="173" t="str">
        <f>IFERROR(vlookup(A595,TSM!A:Q,2,FALSE),"")</f>
        <v/>
      </c>
      <c r="M596" s="93">
        <f t="shared" si="4"/>
        <v>0</v>
      </c>
    </row>
    <row r="597">
      <c r="B597" s="173" t="str">
        <f>IFERROR(vlookup(A597,TSM!A:Q,8,FALSE),"")</f>
        <v/>
      </c>
      <c r="F597" s="93">
        <f t="shared" si="2"/>
        <v>0</v>
      </c>
      <c r="I597" s="173" t="str">
        <f>IFERROR(vlookup(A596,TSM!A:Q,2,FALSE),"")</f>
        <v/>
      </c>
      <c r="M597" s="93">
        <f t="shared" si="4"/>
        <v>0</v>
      </c>
    </row>
    <row r="598">
      <c r="B598" s="173" t="str">
        <f>IFERROR(vlookup(A598,TSM!A:Q,8,FALSE),"")</f>
        <v/>
      </c>
      <c r="F598" s="93">
        <f t="shared" si="2"/>
        <v>0</v>
      </c>
      <c r="I598" s="173" t="str">
        <f>IFERROR(vlookup(A597,TSM!A:Q,2,FALSE),"")</f>
        <v/>
      </c>
      <c r="M598" s="93">
        <f t="shared" si="4"/>
        <v>0</v>
      </c>
    </row>
    <row r="599">
      <c r="B599" s="173" t="str">
        <f>IFERROR(vlookup(A599,TSM!A:Q,8,FALSE),"")</f>
        <v/>
      </c>
      <c r="F599" s="93">
        <f t="shared" si="2"/>
        <v>0</v>
      </c>
      <c r="I599" s="173" t="str">
        <f>IFERROR(vlookup(A598,TSM!A:Q,2,FALSE),"")</f>
        <v/>
      </c>
      <c r="M599" s="93">
        <f t="shared" si="4"/>
        <v>0</v>
      </c>
    </row>
    <row r="600">
      <c r="B600" s="173" t="str">
        <f>IFERROR(vlookup(A600,TSM!A:Q,8,FALSE),"")</f>
        <v/>
      </c>
      <c r="F600" s="93">
        <f t="shared" si="2"/>
        <v>0</v>
      </c>
      <c r="I600" s="173" t="str">
        <f>IFERROR(vlookup(A599,TSM!A:Q,2,FALSE),"")</f>
        <v/>
      </c>
      <c r="M600" s="93">
        <f t="shared" si="4"/>
        <v>0</v>
      </c>
    </row>
    <row r="601">
      <c r="B601" s="173" t="str">
        <f>IFERROR(vlookup(A601,TSM!A:Q,8,FALSE),"")</f>
        <v/>
      </c>
      <c r="F601" s="93">
        <f t="shared" si="2"/>
        <v>0</v>
      </c>
      <c r="I601" s="173" t="str">
        <f>IFERROR(vlookup(A600,TSM!A:Q,2,FALSE),"")</f>
        <v/>
      </c>
      <c r="M601" s="93">
        <f t="shared" si="4"/>
        <v>0</v>
      </c>
    </row>
    <row r="602">
      <c r="B602" s="173" t="str">
        <f>IFERROR(vlookup(A602,TSM!A:Q,8,FALSE),"")</f>
        <v/>
      </c>
      <c r="F602" s="93">
        <f t="shared" si="2"/>
        <v>0</v>
      </c>
      <c r="I602" s="173" t="str">
        <f>IFERROR(vlookup(A601,TSM!A:Q,2,FALSE),"")</f>
        <v/>
      </c>
      <c r="M602" s="93">
        <f t="shared" si="4"/>
        <v>0</v>
      </c>
    </row>
    <row r="603">
      <c r="B603" s="173" t="str">
        <f>IFERROR(vlookup(A603,TSM!A:Q,8,FALSE),"")</f>
        <v/>
      </c>
      <c r="F603" s="93">
        <f t="shared" si="2"/>
        <v>0</v>
      </c>
      <c r="I603" s="173" t="str">
        <f>IFERROR(vlookup(A602,TSM!A:Q,2,FALSE),"")</f>
        <v/>
      </c>
      <c r="M603" s="93">
        <f t="shared" si="4"/>
        <v>0</v>
      </c>
    </row>
    <row r="604">
      <c r="B604" s="173" t="str">
        <f>IFERROR(vlookup(A604,TSM!A:Q,8,FALSE),"")</f>
        <v/>
      </c>
      <c r="F604" s="93">
        <f t="shared" si="2"/>
        <v>0</v>
      </c>
      <c r="I604" s="173" t="str">
        <f>IFERROR(vlookup(A603,TSM!A:Q,2,FALSE),"")</f>
        <v/>
      </c>
      <c r="M604" s="93">
        <f t="shared" si="4"/>
        <v>0</v>
      </c>
    </row>
    <row r="605">
      <c r="B605" s="173" t="str">
        <f>IFERROR(vlookup(A605,TSM!A:Q,8,FALSE),"")</f>
        <v/>
      </c>
      <c r="F605" s="93">
        <f t="shared" si="2"/>
        <v>0</v>
      </c>
      <c r="I605" s="173" t="str">
        <f>IFERROR(vlookup(A604,TSM!A:Q,2,FALSE),"")</f>
        <v/>
      </c>
      <c r="M605" s="93">
        <f t="shared" si="4"/>
        <v>0</v>
      </c>
    </row>
    <row r="606">
      <c r="B606" s="173" t="str">
        <f>IFERROR(vlookup(A606,TSM!A:Q,8,FALSE),"")</f>
        <v/>
      </c>
      <c r="F606" s="93">
        <f t="shared" si="2"/>
        <v>0</v>
      </c>
      <c r="I606" s="173" t="str">
        <f>IFERROR(vlookup(A605,TSM!A:Q,2,FALSE),"")</f>
        <v/>
      </c>
      <c r="M606" s="93">
        <f t="shared" si="4"/>
        <v>0</v>
      </c>
    </row>
    <row r="607">
      <c r="B607" s="173" t="str">
        <f>IFERROR(vlookup(A607,TSM!A:Q,8,FALSE),"")</f>
        <v/>
      </c>
      <c r="F607" s="93">
        <f t="shared" si="2"/>
        <v>0</v>
      </c>
      <c r="I607" s="173" t="str">
        <f>IFERROR(vlookup(A606,TSM!A:Q,2,FALSE),"")</f>
        <v/>
      </c>
      <c r="M607" s="93">
        <f t="shared" si="4"/>
        <v>0</v>
      </c>
    </row>
    <row r="608">
      <c r="B608" s="173" t="str">
        <f>IFERROR(vlookup(A608,TSM!A:Q,8,FALSE),"")</f>
        <v/>
      </c>
      <c r="F608" s="93">
        <f t="shared" si="2"/>
        <v>0</v>
      </c>
      <c r="I608" s="173" t="str">
        <f>IFERROR(vlookup(A607,TSM!A:Q,2,FALSE),"")</f>
        <v/>
      </c>
      <c r="M608" s="93">
        <f t="shared" si="4"/>
        <v>0</v>
      </c>
    </row>
    <row r="609">
      <c r="B609" s="173" t="str">
        <f>IFERROR(vlookup(A609,TSM!A:Q,8,FALSE),"")</f>
        <v/>
      </c>
      <c r="F609" s="93">
        <f t="shared" si="2"/>
        <v>0</v>
      </c>
      <c r="I609" s="173" t="str">
        <f>IFERROR(vlookup(A608,TSM!A:Q,2,FALSE),"")</f>
        <v/>
      </c>
      <c r="M609" s="93">
        <f t="shared" si="4"/>
        <v>0</v>
      </c>
    </row>
    <row r="610">
      <c r="B610" s="173" t="str">
        <f>IFERROR(vlookup(A610,TSM!A:Q,8,FALSE),"")</f>
        <v/>
      </c>
      <c r="F610" s="93">
        <f t="shared" si="2"/>
        <v>0</v>
      </c>
      <c r="I610" s="173" t="str">
        <f>IFERROR(vlookup(A609,TSM!A:Q,2,FALSE),"")</f>
        <v/>
      </c>
      <c r="M610" s="93">
        <f t="shared" si="4"/>
        <v>0</v>
      </c>
    </row>
    <row r="611">
      <c r="B611" s="173" t="str">
        <f>IFERROR(vlookup(A611,TSM!A:Q,8,FALSE),"")</f>
        <v/>
      </c>
      <c r="F611" s="93">
        <f t="shared" si="2"/>
        <v>0</v>
      </c>
      <c r="I611" s="173" t="str">
        <f>IFERROR(vlookup(A610,TSM!A:Q,2,FALSE),"")</f>
        <v/>
      </c>
      <c r="M611" s="93">
        <f t="shared" si="4"/>
        <v>0</v>
      </c>
    </row>
    <row r="612">
      <c r="B612" s="173" t="str">
        <f>IFERROR(vlookup(A612,TSM!A:Q,8,FALSE),"")</f>
        <v/>
      </c>
      <c r="F612" s="93">
        <f t="shared" si="2"/>
        <v>0</v>
      </c>
      <c r="I612" s="173" t="str">
        <f>IFERROR(vlookup(A611,TSM!A:Q,2,FALSE),"")</f>
        <v/>
      </c>
      <c r="M612" s="93">
        <f t="shared" si="4"/>
        <v>0</v>
      </c>
    </row>
    <row r="613">
      <c r="B613" s="173" t="str">
        <f>IFERROR(vlookup(A613,TSM!A:Q,8,FALSE),"")</f>
        <v/>
      </c>
      <c r="F613" s="93">
        <f t="shared" si="2"/>
        <v>0</v>
      </c>
      <c r="I613" s="173" t="str">
        <f>IFERROR(vlookup(A612,TSM!A:Q,2,FALSE),"")</f>
        <v/>
      </c>
      <c r="M613" s="93">
        <f t="shared" si="4"/>
        <v>0</v>
      </c>
    </row>
    <row r="614">
      <c r="B614" s="173" t="str">
        <f>IFERROR(vlookup(A614,TSM!A:Q,8,FALSE),"")</f>
        <v/>
      </c>
      <c r="F614" s="93">
        <f t="shared" si="2"/>
        <v>0</v>
      </c>
      <c r="I614" s="173" t="str">
        <f>IFERROR(vlookup(A613,TSM!A:Q,2,FALSE),"")</f>
        <v/>
      </c>
      <c r="M614" s="93">
        <f t="shared" si="4"/>
        <v>0</v>
      </c>
    </row>
    <row r="615">
      <c r="B615" s="173" t="str">
        <f>IFERROR(vlookup(A615,TSM!A:Q,8,FALSE),"")</f>
        <v/>
      </c>
      <c r="F615" s="93">
        <f t="shared" si="2"/>
        <v>0</v>
      </c>
      <c r="I615" s="173" t="str">
        <f>IFERROR(vlookup(A614,TSM!A:Q,2,FALSE),"")</f>
        <v/>
      </c>
      <c r="M615" s="93">
        <f t="shared" si="4"/>
        <v>0</v>
      </c>
    </row>
    <row r="616">
      <c r="B616" s="173" t="str">
        <f>IFERROR(vlookup(A616,TSM!A:Q,8,FALSE),"")</f>
        <v/>
      </c>
      <c r="F616" s="93">
        <f t="shared" si="2"/>
        <v>0</v>
      </c>
      <c r="I616" s="173" t="str">
        <f>IFERROR(vlookup(A615,TSM!A:Q,2,FALSE),"")</f>
        <v/>
      </c>
      <c r="M616" s="93">
        <f t="shared" si="4"/>
        <v>0</v>
      </c>
    </row>
    <row r="617">
      <c r="B617" s="173" t="str">
        <f>IFERROR(vlookup(A617,TSM!A:Q,8,FALSE),"")</f>
        <v/>
      </c>
      <c r="F617" s="93">
        <f t="shared" si="2"/>
        <v>0</v>
      </c>
      <c r="I617" s="173" t="str">
        <f>IFERROR(vlookup(A616,TSM!A:Q,2,FALSE),"")</f>
        <v/>
      </c>
      <c r="M617" s="93">
        <f t="shared" si="4"/>
        <v>0</v>
      </c>
    </row>
    <row r="618">
      <c r="B618" s="173" t="str">
        <f>IFERROR(vlookup(A618,TSM!A:Q,8,FALSE),"")</f>
        <v/>
      </c>
      <c r="F618" s="93">
        <f t="shared" si="2"/>
        <v>0</v>
      </c>
      <c r="I618" s="173" t="str">
        <f>IFERROR(vlookup(A617,TSM!A:Q,2,FALSE),"")</f>
        <v/>
      </c>
      <c r="M618" s="93">
        <f t="shared" si="4"/>
        <v>0</v>
      </c>
    </row>
    <row r="619">
      <c r="B619" s="173" t="str">
        <f>IFERROR(vlookup(A619,TSM!A:Q,8,FALSE),"")</f>
        <v/>
      </c>
      <c r="F619" s="93">
        <f t="shared" si="2"/>
        <v>0</v>
      </c>
      <c r="I619" s="173" t="str">
        <f>IFERROR(vlookup(A618,TSM!A:Q,2,FALSE),"")</f>
        <v/>
      </c>
      <c r="M619" s="93">
        <f t="shared" si="4"/>
        <v>0</v>
      </c>
    </row>
    <row r="620">
      <c r="B620" s="173" t="str">
        <f>IFERROR(vlookup(A620,TSM!A:Q,8,FALSE),"")</f>
        <v/>
      </c>
      <c r="F620" s="93">
        <f t="shared" si="2"/>
        <v>0</v>
      </c>
      <c r="I620" s="173" t="str">
        <f>IFERROR(vlookup(A619,TSM!A:Q,2,FALSE),"")</f>
        <v/>
      </c>
      <c r="M620" s="93">
        <f t="shared" si="4"/>
        <v>0</v>
      </c>
    </row>
    <row r="621">
      <c r="B621" s="173" t="str">
        <f>IFERROR(vlookup(A621,TSM!A:Q,8,FALSE),"")</f>
        <v/>
      </c>
      <c r="F621" s="93">
        <f t="shared" si="2"/>
        <v>0</v>
      </c>
      <c r="I621" s="173" t="str">
        <f>IFERROR(vlookup(A620,TSM!A:Q,2,FALSE),"")</f>
        <v/>
      </c>
      <c r="M621" s="93">
        <f t="shared" si="4"/>
        <v>0</v>
      </c>
    </row>
    <row r="622">
      <c r="B622" s="173" t="str">
        <f>IFERROR(vlookup(A622,TSM!A:Q,8,FALSE),"")</f>
        <v/>
      </c>
      <c r="F622" s="93">
        <f t="shared" si="2"/>
        <v>0</v>
      </c>
      <c r="I622" s="173" t="str">
        <f>IFERROR(vlookup(A621,TSM!A:Q,2,FALSE),"")</f>
        <v/>
      </c>
      <c r="M622" s="93">
        <f t="shared" si="4"/>
        <v>0</v>
      </c>
    </row>
    <row r="623">
      <c r="B623" s="173" t="str">
        <f>IFERROR(vlookup(A623,TSM!A:Q,8,FALSE),"")</f>
        <v/>
      </c>
      <c r="F623" s="93">
        <f t="shared" si="2"/>
        <v>0</v>
      </c>
      <c r="I623" s="173" t="str">
        <f>IFERROR(vlookup(A622,TSM!A:Q,2,FALSE),"")</f>
        <v/>
      </c>
      <c r="M623" s="93">
        <f t="shared" si="4"/>
        <v>0</v>
      </c>
    </row>
    <row r="624">
      <c r="B624" s="173" t="str">
        <f>IFERROR(vlookup(A624,TSM!A:Q,8,FALSE),"")</f>
        <v/>
      </c>
      <c r="F624" s="93">
        <f t="shared" si="2"/>
        <v>0</v>
      </c>
      <c r="I624" s="173" t="str">
        <f>IFERROR(vlookup(A623,TSM!A:Q,2,FALSE),"")</f>
        <v/>
      </c>
      <c r="M624" s="93">
        <f t="shared" si="4"/>
        <v>0</v>
      </c>
    </row>
    <row r="625">
      <c r="B625" s="173" t="str">
        <f>IFERROR(vlookup(A625,TSM!A:Q,8,FALSE),"")</f>
        <v/>
      </c>
      <c r="F625" s="93">
        <f t="shared" si="2"/>
        <v>0</v>
      </c>
      <c r="I625" s="173" t="str">
        <f>IFERROR(vlookup(A624,TSM!A:Q,2,FALSE),"")</f>
        <v/>
      </c>
      <c r="M625" s="93">
        <f t="shared" si="4"/>
        <v>0</v>
      </c>
    </row>
    <row r="626">
      <c r="B626" s="173" t="str">
        <f>IFERROR(vlookup(A626,TSM!A:Q,8,FALSE),"")</f>
        <v/>
      </c>
      <c r="F626" s="93">
        <f t="shared" si="2"/>
        <v>0</v>
      </c>
      <c r="I626" s="173" t="str">
        <f>IFERROR(vlookup(A625,TSM!A:Q,2,FALSE),"")</f>
        <v/>
      </c>
      <c r="M626" s="93">
        <f t="shared" si="4"/>
        <v>0</v>
      </c>
    </row>
    <row r="627">
      <c r="B627" s="173" t="str">
        <f>IFERROR(vlookup(A627,TSM!A:Q,8,FALSE),"")</f>
        <v/>
      </c>
      <c r="F627" s="93">
        <f t="shared" si="2"/>
        <v>0</v>
      </c>
      <c r="I627" s="173" t="str">
        <f>IFERROR(vlookup(A626,TSM!A:Q,2,FALSE),"")</f>
        <v/>
      </c>
      <c r="M627" s="93">
        <f t="shared" si="4"/>
        <v>0</v>
      </c>
    </row>
    <row r="628">
      <c r="B628" s="173" t="str">
        <f>IFERROR(vlookup(A628,TSM!A:Q,8,FALSE),"")</f>
        <v/>
      </c>
      <c r="F628" s="93">
        <f t="shared" si="2"/>
        <v>0</v>
      </c>
      <c r="I628" s="173" t="str">
        <f>IFERROR(vlookup(A627,TSM!A:Q,2,FALSE),"")</f>
        <v/>
      </c>
      <c r="M628" s="93">
        <f t="shared" si="4"/>
        <v>0</v>
      </c>
    </row>
    <row r="629">
      <c r="B629" s="173" t="str">
        <f>IFERROR(vlookup(A629,TSM!A:Q,8,FALSE),"")</f>
        <v/>
      </c>
      <c r="F629" s="93">
        <f t="shared" si="2"/>
        <v>0</v>
      </c>
      <c r="I629" s="173" t="str">
        <f>IFERROR(vlookup(A628,TSM!A:Q,2,FALSE),"")</f>
        <v/>
      </c>
      <c r="M629" s="93">
        <f t="shared" si="4"/>
        <v>0</v>
      </c>
    </row>
    <row r="630">
      <c r="B630" s="173" t="str">
        <f>IFERROR(vlookup(A630,TSM!A:Q,8,FALSE),"")</f>
        <v/>
      </c>
      <c r="F630" s="93">
        <f t="shared" si="2"/>
        <v>0</v>
      </c>
      <c r="I630" s="173" t="str">
        <f>IFERROR(vlookup(A629,TSM!A:Q,2,FALSE),"")</f>
        <v/>
      </c>
      <c r="M630" s="93">
        <f t="shared" si="4"/>
        <v>0</v>
      </c>
    </row>
    <row r="631">
      <c r="B631" s="173" t="str">
        <f>IFERROR(vlookup(A631,TSM!A:Q,8,FALSE),"")</f>
        <v/>
      </c>
      <c r="F631" s="93">
        <f t="shared" si="2"/>
        <v>0</v>
      </c>
      <c r="I631" s="173" t="str">
        <f>IFERROR(vlookup(A630,TSM!A:Q,2,FALSE),"")</f>
        <v/>
      </c>
      <c r="M631" s="93">
        <f t="shared" si="4"/>
        <v>0</v>
      </c>
    </row>
    <row r="632">
      <c r="B632" s="173" t="str">
        <f>IFERROR(vlookup(A632,TSM!A:Q,8,FALSE),"")</f>
        <v/>
      </c>
      <c r="F632" s="93">
        <f t="shared" si="2"/>
        <v>0</v>
      </c>
      <c r="I632" s="173" t="str">
        <f>IFERROR(vlookup(A631,TSM!A:Q,2,FALSE),"")</f>
        <v/>
      </c>
      <c r="M632" s="93">
        <f t="shared" si="4"/>
        <v>0</v>
      </c>
    </row>
    <row r="633">
      <c r="B633" s="173" t="str">
        <f>IFERROR(vlookup(A633,TSM!A:Q,8,FALSE),"")</f>
        <v/>
      </c>
      <c r="F633" s="93">
        <f t="shared" si="2"/>
        <v>0</v>
      </c>
      <c r="I633" s="173" t="str">
        <f>IFERROR(vlookup(A632,TSM!A:Q,2,FALSE),"")</f>
        <v/>
      </c>
      <c r="M633" s="93">
        <f t="shared" si="4"/>
        <v>0</v>
      </c>
    </row>
    <row r="634">
      <c r="B634" s="173" t="str">
        <f>IFERROR(vlookup(A634,TSM!A:Q,8,FALSE),"")</f>
        <v/>
      </c>
      <c r="F634" s="93">
        <f t="shared" si="2"/>
        <v>0</v>
      </c>
      <c r="I634" s="173" t="str">
        <f>IFERROR(vlookup(A633,TSM!A:Q,2,FALSE),"")</f>
        <v/>
      </c>
      <c r="M634" s="93">
        <f t="shared" si="4"/>
        <v>0</v>
      </c>
    </row>
    <row r="635">
      <c r="B635" s="173" t="str">
        <f>IFERROR(vlookup(A635,TSM!A:Q,8,FALSE),"")</f>
        <v/>
      </c>
      <c r="F635" s="93">
        <f t="shared" si="2"/>
        <v>0</v>
      </c>
      <c r="I635" s="173" t="str">
        <f>IFERROR(vlookup(A634,TSM!A:Q,2,FALSE),"")</f>
        <v/>
      </c>
      <c r="M635" s="93">
        <f t="shared" si="4"/>
        <v>0</v>
      </c>
    </row>
    <row r="636">
      <c r="B636" s="173" t="str">
        <f>IFERROR(vlookup(A636,TSM!A:Q,8,FALSE),"")</f>
        <v/>
      </c>
      <c r="F636" s="93">
        <f t="shared" si="2"/>
        <v>0</v>
      </c>
      <c r="I636" s="173" t="str">
        <f>IFERROR(vlookup(A635,TSM!A:Q,2,FALSE),"")</f>
        <v/>
      </c>
      <c r="M636" s="93">
        <f t="shared" si="4"/>
        <v>0</v>
      </c>
    </row>
    <row r="637">
      <c r="B637" s="173" t="str">
        <f>IFERROR(vlookup(A637,TSM!A:Q,8,FALSE),"")</f>
        <v/>
      </c>
      <c r="F637" s="93">
        <f t="shared" si="2"/>
        <v>0</v>
      </c>
      <c r="I637" s="173" t="str">
        <f>IFERROR(vlookup(A636,TSM!A:Q,2,FALSE),"")</f>
        <v/>
      </c>
      <c r="M637" s="93">
        <f t="shared" si="4"/>
        <v>0</v>
      </c>
    </row>
    <row r="638">
      <c r="B638" s="173" t="str">
        <f>IFERROR(vlookup(A638,TSM!A:Q,8,FALSE),"")</f>
        <v/>
      </c>
      <c r="F638" s="93">
        <f t="shared" si="2"/>
        <v>0</v>
      </c>
      <c r="I638" s="173" t="str">
        <f>IFERROR(vlookup(A637,TSM!A:Q,2,FALSE),"")</f>
        <v/>
      </c>
      <c r="M638" s="93">
        <f t="shared" si="4"/>
        <v>0</v>
      </c>
    </row>
    <row r="639">
      <c r="B639" s="173" t="str">
        <f>IFERROR(vlookup(A639,TSM!A:Q,8,FALSE),"")</f>
        <v/>
      </c>
      <c r="F639" s="93">
        <f t="shared" si="2"/>
        <v>0</v>
      </c>
      <c r="I639" s="173" t="str">
        <f>IFERROR(vlookup(A638,TSM!A:Q,2,FALSE),"")</f>
        <v/>
      </c>
      <c r="M639" s="93">
        <f t="shared" si="4"/>
        <v>0</v>
      </c>
    </row>
    <row r="640">
      <c r="B640" s="173" t="str">
        <f>IFERROR(vlookup(A640,TSM!A:Q,8,FALSE),"")</f>
        <v/>
      </c>
      <c r="F640" s="93">
        <f t="shared" si="2"/>
        <v>0</v>
      </c>
      <c r="I640" s="173" t="str">
        <f>IFERROR(vlookup(A639,TSM!A:Q,2,FALSE),"")</f>
        <v/>
      </c>
      <c r="M640" s="93">
        <f t="shared" si="4"/>
        <v>0</v>
      </c>
    </row>
    <row r="641">
      <c r="B641" s="173" t="str">
        <f>IFERROR(vlookup(A641,TSM!A:Q,8,FALSE),"")</f>
        <v/>
      </c>
      <c r="F641" s="93">
        <f t="shared" si="2"/>
        <v>0</v>
      </c>
      <c r="I641" s="173" t="str">
        <f>IFERROR(vlookup(A640,TSM!A:Q,2,FALSE),"")</f>
        <v/>
      </c>
      <c r="M641" s="93">
        <f t="shared" si="4"/>
        <v>0</v>
      </c>
    </row>
    <row r="642">
      <c r="B642" s="173" t="str">
        <f>IFERROR(vlookup(A642,TSM!A:Q,8,FALSE),"")</f>
        <v/>
      </c>
      <c r="F642" s="93">
        <f t="shared" si="2"/>
        <v>0</v>
      </c>
      <c r="I642" s="173" t="str">
        <f>IFERROR(vlookup(A641,TSM!A:Q,2,FALSE),"")</f>
        <v/>
      </c>
      <c r="M642" s="93">
        <f t="shared" si="4"/>
        <v>0</v>
      </c>
    </row>
    <row r="643">
      <c r="B643" s="173" t="str">
        <f>IFERROR(vlookup(A643,TSM!A:Q,8,FALSE),"")</f>
        <v/>
      </c>
      <c r="F643" s="93">
        <f t="shared" si="2"/>
        <v>0</v>
      </c>
      <c r="I643" s="173" t="str">
        <f>IFERROR(vlookup(A642,TSM!A:Q,2,FALSE),"")</f>
        <v/>
      </c>
      <c r="M643" s="93">
        <f t="shared" si="4"/>
        <v>0</v>
      </c>
    </row>
    <row r="644">
      <c r="B644" s="173" t="str">
        <f>IFERROR(vlookup(A644,TSM!A:Q,8,FALSE),"")</f>
        <v/>
      </c>
      <c r="F644" s="93">
        <f t="shared" si="2"/>
        <v>0</v>
      </c>
      <c r="I644" s="173" t="str">
        <f>IFERROR(vlookup(A643,TSM!A:Q,2,FALSE),"")</f>
        <v/>
      </c>
      <c r="M644" s="93">
        <f t="shared" si="4"/>
        <v>0</v>
      </c>
    </row>
    <row r="645">
      <c r="B645" s="173" t="str">
        <f>IFERROR(vlookup(A645,TSM!A:Q,8,FALSE),"")</f>
        <v/>
      </c>
      <c r="F645" s="93">
        <f t="shared" si="2"/>
        <v>0</v>
      </c>
      <c r="I645" s="173" t="str">
        <f>IFERROR(vlookup(A644,TSM!A:Q,2,FALSE),"")</f>
        <v/>
      </c>
      <c r="M645" s="93">
        <f t="shared" si="4"/>
        <v>0</v>
      </c>
    </row>
    <row r="646">
      <c r="B646" s="173" t="str">
        <f>IFERROR(vlookup(A646,TSM!A:Q,8,FALSE),"")</f>
        <v/>
      </c>
      <c r="F646" s="93">
        <f t="shared" si="2"/>
        <v>0</v>
      </c>
      <c r="I646" s="173" t="str">
        <f>IFERROR(vlookup(A645,TSM!A:Q,2,FALSE),"")</f>
        <v/>
      </c>
      <c r="M646" s="93">
        <f t="shared" si="4"/>
        <v>0</v>
      </c>
    </row>
    <row r="647">
      <c r="B647" s="173" t="str">
        <f>IFERROR(vlookup(A647,TSM!A:Q,8,FALSE),"")</f>
        <v/>
      </c>
      <c r="F647" s="93">
        <f t="shared" si="2"/>
        <v>0</v>
      </c>
      <c r="I647" s="173" t="str">
        <f>IFERROR(vlookup(A646,TSM!A:Q,2,FALSE),"")</f>
        <v/>
      </c>
      <c r="M647" s="93">
        <f t="shared" si="4"/>
        <v>0</v>
      </c>
    </row>
    <row r="648">
      <c r="B648" s="173" t="str">
        <f>IFERROR(vlookup(A648,TSM!A:Q,8,FALSE),"")</f>
        <v/>
      </c>
      <c r="F648" s="93">
        <f t="shared" si="2"/>
        <v>0</v>
      </c>
      <c r="I648" s="173" t="str">
        <f>IFERROR(vlookup(A647,TSM!A:Q,2,FALSE),"")</f>
        <v/>
      </c>
      <c r="M648" s="93">
        <f t="shared" si="4"/>
        <v>0</v>
      </c>
    </row>
    <row r="649">
      <c r="B649" s="173" t="str">
        <f>IFERROR(vlookup(A649,TSM!A:Q,8,FALSE),"")</f>
        <v/>
      </c>
      <c r="F649" s="93">
        <f t="shared" si="2"/>
        <v>0</v>
      </c>
      <c r="I649" s="173" t="str">
        <f>IFERROR(vlookup(A648,TSM!A:Q,2,FALSE),"")</f>
        <v/>
      </c>
      <c r="M649" s="93">
        <f t="shared" si="4"/>
        <v>0</v>
      </c>
    </row>
    <row r="650">
      <c r="B650" s="173" t="str">
        <f>IFERROR(vlookup(A650,TSM!A:Q,8,FALSE),"")</f>
        <v/>
      </c>
      <c r="F650" s="93">
        <f t="shared" si="2"/>
        <v>0</v>
      </c>
      <c r="I650" s="173" t="str">
        <f>IFERROR(vlookup(A649,TSM!A:Q,2,FALSE),"")</f>
        <v/>
      </c>
      <c r="M650" s="93">
        <f t="shared" si="4"/>
        <v>0</v>
      </c>
    </row>
    <row r="651">
      <c r="B651" s="173" t="str">
        <f>IFERROR(vlookup(A651,TSM!A:Q,8,FALSE),"")</f>
        <v/>
      </c>
      <c r="F651" s="93">
        <f t="shared" si="2"/>
        <v>0</v>
      </c>
      <c r="I651" s="173" t="str">
        <f>IFERROR(vlookup(A650,TSM!A:Q,2,FALSE),"")</f>
        <v/>
      </c>
      <c r="M651" s="93">
        <f t="shared" si="4"/>
        <v>0</v>
      </c>
    </row>
    <row r="652">
      <c r="B652" s="173" t="str">
        <f>IFERROR(vlookup(A652,TSM!A:Q,8,FALSE),"")</f>
        <v/>
      </c>
      <c r="F652" s="93">
        <f t="shared" si="2"/>
        <v>0</v>
      </c>
      <c r="I652" s="173" t="str">
        <f>IFERROR(vlookup(A651,TSM!A:Q,2,FALSE),"")</f>
        <v/>
      </c>
      <c r="M652" s="93">
        <f t="shared" si="4"/>
        <v>0</v>
      </c>
    </row>
    <row r="653">
      <c r="B653" s="173" t="str">
        <f>IFERROR(vlookup(A653,TSM!A:Q,8,FALSE),"")</f>
        <v/>
      </c>
      <c r="F653" s="93">
        <f t="shared" si="2"/>
        <v>0</v>
      </c>
      <c r="I653" s="173" t="str">
        <f>IFERROR(vlookup(A652,TSM!A:Q,2,FALSE),"")</f>
        <v/>
      </c>
      <c r="M653" s="93">
        <f t="shared" si="4"/>
        <v>0</v>
      </c>
    </row>
    <row r="654">
      <c r="B654" s="173" t="str">
        <f>IFERROR(vlookup(A654,TSM!A:Q,8,FALSE),"")</f>
        <v/>
      </c>
      <c r="F654" s="93">
        <f t="shared" si="2"/>
        <v>0</v>
      </c>
      <c r="I654" s="173" t="str">
        <f>IFERROR(vlookup(A653,TSM!A:Q,2,FALSE),"")</f>
        <v/>
      </c>
      <c r="M654" s="93">
        <f t="shared" si="4"/>
        <v>0</v>
      </c>
    </row>
    <row r="655">
      <c r="B655" s="173" t="str">
        <f>IFERROR(vlookup(A655,TSM!A:Q,8,FALSE),"")</f>
        <v/>
      </c>
      <c r="F655" s="93">
        <f t="shared" si="2"/>
        <v>0</v>
      </c>
      <c r="I655" s="173" t="str">
        <f>IFERROR(vlookup(A654,TSM!A:Q,2,FALSE),"")</f>
        <v/>
      </c>
      <c r="M655" s="93">
        <f t="shared" si="4"/>
        <v>0</v>
      </c>
    </row>
    <row r="656">
      <c r="B656" s="173" t="str">
        <f>IFERROR(vlookup(A656,TSM!A:Q,8,FALSE),"")</f>
        <v/>
      </c>
      <c r="F656" s="93">
        <f t="shared" si="2"/>
        <v>0</v>
      </c>
      <c r="I656" s="173" t="str">
        <f>IFERROR(vlookup(A655,TSM!A:Q,2,FALSE),"")</f>
        <v/>
      </c>
      <c r="M656" s="93">
        <f t="shared" si="4"/>
        <v>0</v>
      </c>
    </row>
    <row r="657">
      <c r="B657" s="173" t="str">
        <f>IFERROR(vlookup(A657,TSM!A:Q,8,FALSE),"")</f>
        <v/>
      </c>
      <c r="F657" s="93">
        <f t="shared" si="2"/>
        <v>0</v>
      </c>
      <c r="I657" s="173" t="str">
        <f>IFERROR(vlookup(A656,TSM!A:Q,2,FALSE),"")</f>
        <v/>
      </c>
      <c r="M657" s="93">
        <f t="shared" si="4"/>
        <v>0</v>
      </c>
    </row>
    <row r="658">
      <c r="B658" s="173" t="str">
        <f>IFERROR(vlookup(A658,TSM!A:Q,8,FALSE),"")</f>
        <v/>
      </c>
      <c r="F658" s="93">
        <f t="shared" si="2"/>
        <v>0</v>
      </c>
      <c r="I658" s="173" t="str">
        <f>IFERROR(vlookup(A657,TSM!A:Q,2,FALSE),"")</f>
        <v/>
      </c>
      <c r="M658" s="93">
        <f t="shared" si="4"/>
        <v>0</v>
      </c>
    </row>
    <row r="659">
      <c r="B659" s="173" t="str">
        <f>IFERROR(vlookup(A659,TSM!A:Q,8,FALSE),"")</f>
        <v/>
      </c>
      <c r="F659" s="93">
        <f t="shared" si="2"/>
        <v>0</v>
      </c>
      <c r="I659" s="173" t="str">
        <f>IFERROR(vlookup(A658,TSM!A:Q,2,FALSE),"")</f>
        <v/>
      </c>
      <c r="M659" s="93">
        <f t="shared" si="4"/>
        <v>0</v>
      </c>
    </row>
    <row r="660">
      <c r="B660" s="173" t="str">
        <f>IFERROR(vlookup(A660,TSM!A:Q,8,FALSE),"")</f>
        <v/>
      </c>
      <c r="F660" s="93">
        <f t="shared" si="2"/>
        <v>0</v>
      </c>
      <c r="I660" s="173" t="str">
        <f>IFERROR(vlookup(A659,TSM!A:Q,2,FALSE),"")</f>
        <v/>
      </c>
      <c r="M660" s="93">
        <f t="shared" si="4"/>
        <v>0</v>
      </c>
    </row>
    <row r="661">
      <c r="B661" s="173" t="str">
        <f>IFERROR(vlookup(A661,TSM!A:Q,8,FALSE),"")</f>
        <v/>
      </c>
      <c r="F661" s="93">
        <f t="shared" si="2"/>
        <v>0</v>
      </c>
      <c r="I661" s="173" t="str">
        <f>IFERROR(vlookup(A660,TSM!A:Q,2,FALSE),"")</f>
        <v/>
      </c>
      <c r="M661" s="93">
        <f t="shared" si="4"/>
        <v>0</v>
      </c>
    </row>
    <row r="662">
      <c r="B662" s="173" t="str">
        <f>IFERROR(vlookup(A662,TSM!A:Q,8,FALSE),"")</f>
        <v/>
      </c>
      <c r="F662" s="93">
        <f t="shared" si="2"/>
        <v>0</v>
      </c>
      <c r="I662" s="173" t="str">
        <f>IFERROR(vlookup(A661,TSM!A:Q,2,FALSE),"")</f>
        <v/>
      </c>
      <c r="M662" s="93">
        <f t="shared" si="4"/>
        <v>0</v>
      </c>
    </row>
    <row r="663">
      <c r="B663" s="173" t="str">
        <f>IFERROR(vlookup(A663,TSM!A:Q,8,FALSE),"")</f>
        <v/>
      </c>
      <c r="F663" s="93">
        <f t="shared" si="2"/>
        <v>0</v>
      </c>
      <c r="I663" s="173" t="str">
        <f>IFERROR(vlookup(A662,TSM!A:Q,2,FALSE),"")</f>
        <v/>
      </c>
      <c r="M663" s="93">
        <f t="shared" si="4"/>
        <v>0</v>
      </c>
    </row>
    <row r="664">
      <c r="B664" s="173" t="str">
        <f>IFERROR(vlookup(A664,TSM!A:Q,8,FALSE),"")</f>
        <v/>
      </c>
      <c r="F664" s="93">
        <f t="shared" si="2"/>
        <v>0</v>
      </c>
      <c r="I664" s="173" t="str">
        <f>IFERROR(vlookup(A663,TSM!A:Q,2,FALSE),"")</f>
        <v/>
      </c>
      <c r="M664" s="93">
        <f t="shared" si="4"/>
        <v>0</v>
      </c>
    </row>
    <row r="665">
      <c r="B665" s="173" t="str">
        <f>IFERROR(vlookup(A665,TSM!A:Q,8,FALSE),"")</f>
        <v/>
      </c>
      <c r="F665" s="93">
        <f t="shared" si="2"/>
        <v>0</v>
      </c>
      <c r="I665" s="173" t="str">
        <f>IFERROR(vlookup(A664,TSM!A:Q,2,FALSE),"")</f>
        <v/>
      </c>
      <c r="M665" s="93">
        <f t="shared" si="4"/>
        <v>0</v>
      </c>
    </row>
    <row r="666">
      <c r="B666" s="173" t="str">
        <f>IFERROR(vlookup(A666,TSM!A:Q,8,FALSE),"")</f>
        <v/>
      </c>
      <c r="F666" s="93">
        <f t="shared" si="2"/>
        <v>0</v>
      </c>
      <c r="I666" s="173" t="str">
        <f>IFERROR(vlookup(A665,TSM!A:Q,2,FALSE),"")</f>
        <v/>
      </c>
      <c r="M666" s="93">
        <f t="shared" si="4"/>
        <v>0</v>
      </c>
    </row>
    <row r="667">
      <c r="B667" s="173" t="str">
        <f>IFERROR(vlookup(A667,TSM!A:Q,8,FALSE),"")</f>
        <v/>
      </c>
      <c r="F667" s="93">
        <f t="shared" si="2"/>
        <v>0</v>
      </c>
      <c r="I667" s="173" t="str">
        <f>IFERROR(vlookup(A666,TSM!A:Q,2,FALSE),"")</f>
        <v/>
      </c>
      <c r="M667" s="93">
        <f t="shared" si="4"/>
        <v>0</v>
      </c>
    </row>
    <row r="668">
      <c r="B668" s="173" t="str">
        <f>IFERROR(vlookup(A668,TSM!A:Q,8,FALSE),"")</f>
        <v/>
      </c>
      <c r="F668" s="93">
        <f t="shared" si="2"/>
        <v>0</v>
      </c>
      <c r="I668" s="173" t="str">
        <f>IFERROR(vlookup(A667,TSM!A:Q,2,FALSE),"")</f>
        <v/>
      </c>
      <c r="M668" s="93">
        <f t="shared" si="4"/>
        <v>0</v>
      </c>
    </row>
    <row r="669">
      <c r="B669" s="173" t="str">
        <f>IFERROR(vlookup(A669,TSM!A:Q,8,FALSE),"")</f>
        <v/>
      </c>
      <c r="F669" s="93">
        <f t="shared" si="2"/>
        <v>0</v>
      </c>
      <c r="I669" s="173" t="str">
        <f>IFERROR(vlookup(A668,TSM!A:Q,2,FALSE),"")</f>
        <v/>
      </c>
      <c r="M669" s="93">
        <f t="shared" si="4"/>
        <v>0</v>
      </c>
    </row>
    <row r="670">
      <c r="B670" s="173" t="str">
        <f>IFERROR(vlookup(A670,TSM!A:Q,8,FALSE),"")</f>
        <v/>
      </c>
      <c r="F670" s="93">
        <f t="shared" si="2"/>
        <v>0</v>
      </c>
      <c r="I670" s="173" t="str">
        <f>IFERROR(vlookup(A669,TSM!A:Q,2,FALSE),"")</f>
        <v/>
      </c>
      <c r="M670" s="93">
        <f t="shared" si="4"/>
        <v>0</v>
      </c>
    </row>
    <row r="671">
      <c r="B671" s="173" t="str">
        <f>IFERROR(vlookup(A671,TSM!A:Q,8,FALSE),"")</f>
        <v/>
      </c>
      <c r="F671" s="93">
        <f t="shared" si="2"/>
        <v>0</v>
      </c>
      <c r="I671" s="173" t="str">
        <f>IFERROR(vlookup(A670,TSM!A:Q,2,FALSE),"")</f>
        <v/>
      </c>
      <c r="M671" s="93">
        <f t="shared" si="4"/>
        <v>0</v>
      </c>
    </row>
    <row r="672">
      <c r="B672" s="173" t="str">
        <f>IFERROR(vlookup(A672,TSM!A:Q,8,FALSE),"")</f>
        <v/>
      </c>
      <c r="F672" s="93">
        <f t="shared" si="2"/>
        <v>0</v>
      </c>
      <c r="I672" s="173" t="str">
        <f>IFERROR(vlookup(A671,TSM!A:Q,2,FALSE),"")</f>
        <v/>
      </c>
      <c r="M672" s="93">
        <f t="shared" si="4"/>
        <v>0</v>
      </c>
    </row>
    <row r="673">
      <c r="B673" s="173" t="str">
        <f>IFERROR(vlookup(A673,TSM!A:Q,8,FALSE),"")</f>
        <v/>
      </c>
      <c r="F673" s="93">
        <f t="shared" si="2"/>
        <v>0</v>
      </c>
      <c r="I673" s="173" t="str">
        <f>IFERROR(vlookup(A672,TSM!A:Q,2,FALSE),"")</f>
        <v/>
      </c>
      <c r="M673" s="93">
        <f t="shared" si="4"/>
        <v>0</v>
      </c>
    </row>
    <row r="674">
      <c r="B674" s="173" t="str">
        <f>IFERROR(vlookup(A674,TSM!A:Q,8,FALSE),"")</f>
        <v/>
      </c>
      <c r="F674" s="93">
        <f t="shared" si="2"/>
        <v>0</v>
      </c>
      <c r="I674" s="173" t="str">
        <f>IFERROR(vlookup(A673,TSM!A:Q,2,FALSE),"")</f>
        <v/>
      </c>
      <c r="M674" s="93">
        <f t="shared" si="4"/>
        <v>0</v>
      </c>
    </row>
    <row r="675">
      <c r="B675" s="173" t="str">
        <f>IFERROR(vlookup(A675,TSM!A:Q,8,FALSE),"")</f>
        <v/>
      </c>
      <c r="F675" s="93">
        <f t="shared" si="2"/>
        <v>0</v>
      </c>
      <c r="I675" s="173" t="str">
        <f>IFERROR(vlookup(A674,TSM!A:Q,2,FALSE),"")</f>
        <v/>
      </c>
      <c r="M675" s="93">
        <f t="shared" si="4"/>
        <v>0</v>
      </c>
    </row>
    <row r="676">
      <c r="B676" s="173" t="str">
        <f>IFERROR(vlookup(A676,TSM!A:Q,8,FALSE),"")</f>
        <v/>
      </c>
      <c r="F676" s="93">
        <f t="shared" si="2"/>
        <v>0</v>
      </c>
      <c r="I676" s="173" t="str">
        <f>IFERROR(vlookup(A675,TSM!A:Q,2,FALSE),"")</f>
        <v/>
      </c>
      <c r="M676" s="93">
        <f t="shared" si="4"/>
        <v>0</v>
      </c>
    </row>
    <row r="677">
      <c r="B677" s="173" t="str">
        <f>IFERROR(vlookup(A677,TSM!A:Q,8,FALSE),"")</f>
        <v/>
      </c>
      <c r="F677" s="93">
        <f t="shared" si="2"/>
        <v>0</v>
      </c>
      <c r="I677" s="173" t="str">
        <f>IFERROR(vlookup(A676,TSM!A:Q,2,FALSE),"")</f>
        <v/>
      </c>
      <c r="M677" s="93">
        <f t="shared" si="4"/>
        <v>0</v>
      </c>
    </row>
    <row r="678">
      <c r="B678" s="173" t="str">
        <f>IFERROR(vlookup(A678,TSM!A:Q,8,FALSE),"")</f>
        <v/>
      </c>
      <c r="F678" s="93">
        <f t="shared" si="2"/>
        <v>0</v>
      </c>
      <c r="I678" s="173" t="str">
        <f>IFERROR(vlookup(A677,TSM!A:Q,2,FALSE),"")</f>
        <v/>
      </c>
      <c r="M678" s="93">
        <f t="shared" si="4"/>
        <v>0</v>
      </c>
    </row>
    <row r="679">
      <c r="B679" s="173" t="str">
        <f>IFERROR(vlookup(A679,TSM!A:Q,8,FALSE),"")</f>
        <v/>
      </c>
      <c r="F679" s="93">
        <f t="shared" si="2"/>
        <v>0</v>
      </c>
      <c r="I679" s="173" t="str">
        <f>IFERROR(vlookup(A678,TSM!A:Q,2,FALSE),"")</f>
        <v/>
      </c>
      <c r="M679" s="93">
        <f t="shared" si="4"/>
        <v>0</v>
      </c>
    </row>
    <row r="680">
      <c r="B680" s="173" t="str">
        <f>IFERROR(vlookup(A680,TSM!A:Q,8,FALSE),"")</f>
        <v/>
      </c>
      <c r="F680" s="93">
        <f t="shared" si="2"/>
        <v>0</v>
      </c>
      <c r="I680" s="173" t="str">
        <f>IFERROR(vlookup(A679,TSM!A:Q,2,FALSE),"")</f>
        <v/>
      </c>
      <c r="M680" s="93">
        <f t="shared" si="4"/>
        <v>0</v>
      </c>
    </row>
    <row r="681">
      <c r="B681" s="173" t="str">
        <f>IFERROR(vlookup(A681,TSM!A:Q,8,FALSE),"")</f>
        <v/>
      </c>
      <c r="F681" s="93">
        <f t="shared" si="2"/>
        <v>0</v>
      </c>
      <c r="I681" s="173" t="str">
        <f>IFERROR(vlookup(A680,TSM!A:Q,2,FALSE),"")</f>
        <v/>
      </c>
      <c r="M681" s="93">
        <f t="shared" si="4"/>
        <v>0</v>
      </c>
    </row>
    <row r="682">
      <c r="B682" s="173" t="str">
        <f>IFERROR(vlookup(A682,TSM!A:Q,8,FALSE),"")</f>
        <v/>
      </c>
      <c r="F682" s="93">
        <f t="shared" si="2"/>
        <v>0</v>
      </c>
      <c r="I682" s="173" t="str">
        <f>IFERROR(vlookup(A681,TSM!A:Q,2,FALSE),"")</f>
        <v/>
      </c>
      <c r="M682" s="93">
        <f t="shared" si="4"/>
        <v>0</v>
      </c>
    </row>
    <row r="683">
      <c r="B683" s="173" t="str">
        <f>IFERROR(vlookup(A683,TSM!A:Q,8,FALSE),"")</f>
        <v/>
      </c>
      <c r="F683" s="93">
        <f t="shared" si="2"/>
        <v>0</v>
      </c>
      <c r="I683" s="173" t="str">
        <f>IFERROR(vlookup(A682,TSM!A:Q,2,FALSE),"")</f>
        <v/>
      </c>
      <c r="M683" s="93">
        <f t="shared" si="4"/>
        <v>0</v>
      </c>
    </row>
    <row r="684">
      <c r="B684" s="173" t="str">
        <f>IFERROR(vlookup(A684,TSM!A:Q,8,FALSE),"")</f>
        <v/>
      </c>
      <c r="F684" s="93">
        <f t="shared" si="2"/>
        <v>0</v>
      </c>
      <c r="I684" s="173" t="str">
        <f>IFERROR(vlookup(A683,TSM!A:Q,2,FALSE),"")</f>
        <v/>
      </c>
      <c r="M684" s="93">
        <f t="shared" si="4"/>
        <v>0</v>
      </c>
    </row>
    <row r="685">
      <c r="B685" s="173" t="str">
        <f>IFERROR(vlookup(A685,TSM!A:Q,8,FALSE),"")</f>
        <v/>
      </c>
      <c r="F685" s="93">
        <f t="shared" si="2"/>
        <v>0</v>
      </c>
      <c r="I685" s="173" t="str">
        <f>IFERROR(vlookup(A684,TSM!A:Q,2,FALSE),"")</f>
        <v/>
      </c>
      <c r="M685" s="93">
        <f t="shared" si="4"/>
        <v>0</v>
      </c>
    </row>
    <row r="686">
      <c r="B686" s="173" t="str">
        <f>IFERROR(vlookup(A686,TSM!A:Q,8,FALSE),"")</f>
        <v/>
      </c>
      <c r="F686" s="93">
        <f t="shared" si="2"/>
        <v>0</v>
      </c>
      <c r="I686" s="173" t="str">
        <f>IFERROR(vlookup(A685,TSM!A:Q,2,FALSE),"")</f>
        <v/>
      </c>
      <c r="M686" s="93">
        <f t="shared" si="4"/>
        <v>0</v>
      </c>
    </row>
    <row r="687">
      <c r="B687" s="173" t="str">
        <f>IFERROR(vlookup(A687,TSM!A:Q,8,FALSE),"")</f>
        <v/>
      </c>
      <c r="F687" s="93">
        <f t="shared" si="2"/>
        <v>0</v>
      </c>
      <c r="I687" s="173" t="str">
        <f>IFERROR(vlookup(A686,TSM!A:Q,2,FALSE),"")</f>
        <v/>
      </c>
      <c r="M687" s="93">
        <f t="shared" si="4"/>
        <v>0</v>
      </c>
    </row>
    <row r="688">
      <c r="B688" s="173" t="str">
        <f>IFERROR(vlookup(A688,TSM!A:Q,8,FALSE),"")</f>
        <v/>
      </c>
      <c r="F688" s="93">
        <f t="shared" si="2"/>
        <v>0</v>
      </c>
      <c r="I688" s="173" t="str">
        <f>IFERROR(vlookup(A687,TSM!A:Q,2,FALSE),"")</f>
        <v/>
      </c>
      <c r="M688" s="93">
        <f t="shared" si="4"/>
        <v>0</v>
      </c>
    </row>
    <row r="689">
      <c r="B689" s="173" t="str">
        <f>IFERROR(vlookup(A689,TSM!A:Q,8,FALSE),"")</f>
        <v/>
      </c>
      <c r="F689" s="93">
        <f t="shared" si="2"/>
        <v>0</v>
      </c>
      <c r="I689" s="173" t="str">
        <f>IFERROR(vlookup(A688,TSM!A:Q,2,FALSE),"")</f>
        <v/>
      </c>
      <c r="M689" s="93">
        <f t="shared" si="4"/>
        <v>0</v>
      </c>
    </row>
    <row r="690">
      <c r="B690" s="173" t="str">
        <f>IFERROR(vlookup(A690,TSM!A:Q,8,FALSE),"")</f>
        <v/>
      </c>
      <c r="F690" s="93">
        <f t="shared" si="2"/>
        <v>0</v>
      </c>
      <c r="I690" s="173" t="str">
        <f>IFERROR(vlookup(A689,TSM!A:Q,2,FALSE),"")</f>
        <v/>
      </c>
      <c r="M690" s="93">
        <f t="shared" si="4"/>
        <v>0</v>
      </c>
    </row>
    <row r="691">
      <c r="B691" s="173" t="str">
        <f>IFERROR(vlookup(A691,TSM!A:Q,8,FALSE),"")</f>
        <v/>
      </c>
      <c r="F691" s="93">
        <f t="shared" si="2"/>
        <v>0</v>
      </c>
      <c r="I691" s="173" t="str">
        <f>IFERROR(vlookup(A690,TSM!A:Q,2,FALSE),"")</f>
        <v/>
      </c>
      <c r="M691" s="93">
        <f t="shared" si="4"/>
        <v>0</v>
      </c>
    </row>
    <row r="692">
      <c r="B692" s="173" t="str">
        <f>IFERROR(vlookup(A692,TSM!A:Q,8,FALSE),"")</f>
        <v/>
      </c>
      <c r="F692" s="93">
        <f t="shared" si="2"/>
        <v>0</v>
      </c>
      <c r="I692" s="173" t="str">
        <f>IFERROR(vlookup(A691,TSM!A:Q,2,FALSE),"")</f>
        <v/>
      </c>
      <c r="M692" s="93">
        <f t="shared" si="4"/>
        <v>0</v>
      </c>
    </row>
    <row r="693">
      <c r="B693" s="173" t="str">
        <f>IFERROR(vlookup(A693,TSM!A:Q,8,FALSE),"")</f>
        <v/>
      </c>
      <c r="F693" s="93">
        <f t="shared" si="2"/>
        <v>0</v>
      </c>
      <c r="I693" s="173" t="str">
        <f>IFERROR(vlookup(A692,TSM!A:Q,2,FALSE),"")</f>
        <v/>
      </c>
      <c r="M693" s="93">
        <f t="shared" si="4"/>
        <v>0</v>
      </c>
    </row>
    <row r="694">
      <c r="B694" s="173" t="str">
        <f>IFERROR(vlookup(A694,TSM!A:Q,8,FALSE),"")</f>
        <v/>
      </c>
      <c r="F694" s="93">
        <f t="shared" si="2"/>
        <v>0</v>
      </c>
      <c r="I694" s="173" t="str">
        <f>IFERROR(vlookup(A693,TSM!A:Q,2,FALSE),"")</f>
        <v/>
      </c>
      <c r="M694" s="93">
        <f t="shared" si="4"/>
        <v>0</v>
      </c>
    </row>
    <row r="695">
      <c r="B695" s="173" t="str">
        <f>IFERROR(vlookup(A695,TSM!A:Q,8,FALSE),"")</f>
        <v/>
      </c>
      <c r="F695" s="93">
        <f t="shared" si="2"/>
        <v>0</v>
      </c>
      <c r="I695" s="173" t="str">
        <f>IFERROR(vlookup(A694,TSM!A:Q,2,FALSE),"")</f>
        <v/>
      </c>
      <c r="M695" s="93">
        <f t="shared" si="4"/>
        <v>0</v>
      </c>
    </row>
    <row r="696">
      <c r="B696" s="173" t="str">
        <f>IFERROR(vlookup(A696,TSM!A:Q,8,FALSE),"")</f>
        <v/>
      </c>
      <c r="F696" s="93">
        <f t="shared" si="2"/>
        <v>0</v>
      </c>
      <c r="I696" s="173" t="str">
        <f>IFERROR(vlookup(A695,TSM!A:Q,2,FALSE),"")</f>
        <v/>
      </c>
      <c r="M696" s="93">
        <f t="shared" si="4"/>
        <v>0</v>
      </c>
    </row>
    <row r="697">
      <c r="B697" s="173" t="str">
        <f>IFERROR(vlookup(A697,TSM!A:Q,8,FALSE),"")</f>
        <v/>
      </c>
      <c r="F697" s="93">
        <f t="shared" si="2"/>
        <v>0</v>
      </c>
      <c r="I697" s="173" t="str">
        <f>IFERROR(vlookup(A696,TSM!A:Q,2,FALSE),"")</f>
        <v/>
      </c>
      <c r="M697" s="93">
        <f t="shared" si="4"/>
        <v>0</v>
      </c>
    </row>
    <row r="698">
      <c r="B698" s="173" t="str">
        <f>IFERROR(vlookup(A698,TSM!A:Q,8,FALSE),"")</f>
        <v/>
      </c>
      <c r="F698" s="93">
        <f t="shared" si="2"/>
        <v>0</v>
      </c>
      <c r="I698" s="173" t="str">
        <f>IFERROR(vlookup(A697,TSM!A:Q,2,FALSE),"")</f>
        <v/>
      </c>
      <c r="M698" s="93">
        <f t="shared" si="4"/>
        <v>0</v>
      </c>
    </row>
    <row r="699">
      <c r="B699" s="173" t="str">
        <f>IFERROR(vlookup(A699,TSM!A:Q,8,FALSE),"")</f>
        <v/>
      </c>
      <c r="F699" s="93">
        <f t="shared" si="2"/>
        <v>0</v>
      </c>
      <c r="I699" s="173" t="str">
        <f>IFERROR(vlookup(A698,TSM!A:Q,2,FALSE),"")</f>
        <v/>
      </c>
      <c r="M699" s="93">
        <f t="shared" si="4"/>
        <v>0</v>
      </c>
    </row>
    <row r="700">
      <c r="B700" s="173" t="str">
        <f>IFERROR(vlookup(A700,TSM!A:Q,8,FALSE),"")</f>
        <v/>
      </c>
      <c r="F700" s="93">
        <f t="shared" si="2"/>
        <v>0</v>
      </c>
      <c r="I700" s="173" t="str">
        <f>IFERROR(vlookup(A699,TSM!A:Q,2,FALSE),"")</f>
        <v/>
      </c>
      <c r="M700" s="93">
        <f t="shared" si="4"/>
        <v>0</v>
      </c>
    </row>
    <row r="701">
      <c r="B701" s="173" t="str">
        <f>IFERROR(vlookup(A701,TSM!A:Q,8,FALSE),"")</f>
        <v/>
      </c>
      <c r="F701" s="93">
        <f t="shared" si="2"/>
        <v>0</v>
      </c>
      <c r="I701" s="173" t="str">
        <f>IFERROR(vlookup(A700,TSM!A:Q,2,FALSE),"")</f>
        <v/>
      </c>
      <c r="M701" s="93">
        <f t="shared" si="4"/>
        <v>0</v>
      </c>
    </row>
    <row r="702">
      <c r="B702" s="173" t="str">
        <f>IFERROR(vlookup(A702,TSM!A:Q,8,FALSE),"")</f>
        <v/>
      </c>
      <c r="F702" s="93">
        <f t="shared" si="2"/>
        <v>0</v>
      </c>
      <c r="I702" s="173" t="str">
        <f>IFERROR(vlookup(A701,TSM!A:Q,2,FALSE),"")</f>
        <v/>
      </c>
      <c r="M702" s="93">
        <f t="shared" si="4"/>
        <v>0</v>
      </c>
    </row>
    <row r="703">
      <c r="B703" s="173" t="str">
        <f>IFERROR(vlookup(A703,TSM!A:Q,8,FALSE),"")</f>
        <v/>
      </c>
      <c r="F703" s="93">
        <f t="shared" si="2"/>
        <v>0</v>
      </c>
      <c r="I703" s="173" t="str">
        <f>IFERROR(vlookup(A702,TSM!A:Q,2,FALSE),"")</f>
        <v/>
      </c>
      <c r="M703" s="93">
        <f t="shared" si="4"/>
        <v>0</v>
      </c>
    </row>
    <row r="704">
      <c r="B704" s="173" t="str">
        <f>IFERROR(vlookup(A704,TSM!A:Q,8,FALSE),"")</f>
        <v/>
      </c>
      <c r="F704" s="93">
        <f t="shared" si="2"/>
        <v>0</v>
      </c>
      <c r="I704" s="173" t="str">
        <f>IFERROR(vlookup(A703,TSM!A:Q,2,FALSE),"")</f>
        <v/>
      </c>
      <c r="M704" s="93">
        <f t="shared" si="4"/>
        <v>0</v>
      </c>
    </row>
    <row r="705">
      <c r="B705" s="173" t="str">
        <f>IFERROR(vlookup(A705,TSM!A:Q,8,FALSE),"")</f>
        <v/>
      </c>
      <c r="F705" s="93">
        <f t="shared" si="2"/>
        <v>0</v>
      </c>
      <c r="I705" s="173" t="str">
        <f>IFERROR(vlookup(A704,TSM!A:Q,2,FALSE),"")</f>
        <v/>
      </c>
      <c r="M705" s="93">
        <f t="shared" si="4"/>
        <v>0</v>
      </c>
    </row>
    <row r="706">
      <c r="B706" s="173" t="str">
        <f>IFERROR(vlookup(A706,TSM!A:Q,8,FALSE),"")</f>
        <v/>
      </c>
      <c r="F706" s="93">
        <f t="shared" si="2"/>
        <v>0</v>
      </c>
      <c r="I706" s="173" t="str">
        <f>IFERROR(vlookup(A705,TSM!A:Q,2,FALSE),"")</f>
        <v/>
      </c>
      <c r="M706" s="93">
        <f t="shared" si="4"/>
        <v>0</v>
      </c>
    </row>
    <row r="707">
      <c r="B707" s="173" t="str">
        <f>IFERROR(vlookup(A707,TSM!A:Q,8,FALSE),"")</f>
        <v/>
      </c>
      <c r="F707" s="93">
        <f t="shared" si="2"/>
        <v>0</v>
      </c>
      <c r="I707" s="173" t="str">
        <f>IFERROR(vlookup(A706,TSM!A:Q,2,FALSE),"")</f>
        <v/>
      </c>
      <c r="M707" s="93">
        <f t="shared" si="4"/>
        <v>0</v>
      </c>
    </row>
    <row r="708">
      <c r="B708" s="173" t="str">
        <f>IFERROR(vlookup(A708,TSM!A:Q,8,FALSE),"")</f>
        <v/>
      </c>
      <c r="F708" s="93">
        <f t="shared" si="2"/>
        <v>0</v>
      </c>
      <c r="I708" s="173" t="str">
        <f>IFERROR(vlookup(A707,TSM!A:Q,2,FALSE),"")</f>
        <v/>
      </c>
      <c r="M708" s="93">
        <f t="shared" si="4"/>
        <v>0</v>
      </c>
    </row>
    <row r="709">
      <c r="B709" s="173" t="str">
        <f>IFERROR(vlookup(A709,TSM!A:Q,8,FALSE),"")</f>
        <v/>
      </c>
      <c r="F709" s="93">
        <f t="shared" si="2"/>
        <v>0</v>
      </c>
      <c r="I709" s="173" t="str">
        <f>IFERROR(vlookup(A708,TSM!A:Q,2,FALSE),"")</f>
        <v/>
      </c>
      <c r="M709" s="93">
        <f t="shared" si="4"/>
        <v>0</v>
      </c>
    </row>
    <row r="710">
      <c r="B710" s="173" t="str">
        <f>IFERROR(vlookup(A710,TSM!A:Q,8,FALSE),"")</f>
        <v/>
      </c>
      <c r="F710" s="93">
        <f t="shared" si="2"/>
        <v>0</v>
      </c>
      <c r="I710" s="173" t="str">
        <f>IFERROR(vlookup(A709,TSM!A:Q,2,FALSE),"")</f>
        <v/>
      </c>
      <c r="M710" s="93">
        <f t="shared" si="4"/>
        <v>0</v>
      </c>
    </row>
    <row r="711">
      <c r="B711" s="173" t="str">
        <f>IFERROR(vlookup(A711,TSM!A:Q,8,FALSE),"")</f>
        <v/>
      </c>
      <c r="F711" s="93">
        <f t="shared" si="2"/>
        <v>0</v>
      </c>
      <c r="I711" s="173" t="str">
        <f>IFERROR(vlookup(A710,TSM!A:Q,2,FALSE),"")</f>
        <v/>
      </c>
      <c r="M711" s="93">
        <f t="shared" si="4"/>
        <v>0</v>
      </c>
    </row>
    <row r="712">
      <c r="B712" s="173" t="str">
        <f>IFERROR(vlookup(A712,TSM!A:Q,8,FALSE),"")</f>
        <v/>
      </c>
      <c r="F712" s="93">
        <f t="shared" si="2"/>
        <v>0</v>
      </c>
      <c r="I712" s="173" t="str">
        <f>IFERROR(vlookup(A711,TSM!A:Q,2,FALSE),"")</f>
        <v/>
      </c>
      <c r="M712" s="93">
        <f t="shared" si="4"/>
        <v>0</v>
      </c>
    </row>
    <row r="713">
      <c r="B713" s="173" t="str">
        <f>IFERROR(vlookup(A713,TSM!A:Q,8,FALSE),"")</f>
        <v/>
      </c>
      <c r="F713" s="93">
        <f t="shared" si="2"/>
        <v>0</v>
      </c>
      <c r="I713" s="173" t="str">
        <f>IFERROR(vlookup(A712,TSM!A:Q,2,FALSE),"")</f>
        <v/>
      </c>
      <c r="M713" s="93">
        <f t="shared" si="4"/>
        <v>0</v>
      </c>
    </row>
    <row r="714">
      <c r="B714" s="173" t="str">
        <f>IFERROR(vlookup(A714,TSM!A:Q,8,FALSE),"")</f>
        <v/>
      </c>
      <c r="F714" s="93">
        <f t="shared" si="2"/>
        <v>0</v>
      </c>
      <c r="I714" s="173" t="str">
        <f>IFERROR(vlookup(A713,TSM!A:Q,2,FALSE),"")</f>
        <v/>
      </c>
      <c r="M714" s="93">
        <f t="shared" si="4"/>
        <v>0</v>
      </c>
    </row>
    <row r="715">
      <c r="B715" s="173" t="str">
        <f>IFERROR(vlookup(A715,TSM!A:Q,8,FALSE),"")</f>
        <v/>
      </c>
      <c r="F715" s="93">
        <f t="shared" si="2"/>
        <v>0</v>
      </c>
      <c r="I715" s="173" t="str">
        <f>IFERROR(vlookup(A714,TSM!A:Q,2,FALSE),"")</f>
        <v/>
      </c>
      <c r="M715" s="93">
        <f t="shared" si="4"/>
        <v>0</v>
      </c>
    </row>
    <row r="716">
      <c r="B716" s="173" t="str">
        <f>IFERROR(vlookup(A716,TSM!A:Q,8,FALSE),"")</f>
        <v/>
      </c>
      <c r="F716" s="93">
        <f t="shared" si="2"/>
        <v>0</v>
      </c>
      <c r="I716" s="173" t="str">
        <f>IFERROR(vlookup(A715,TSM!A:Q,2,FALSE),"")</f>
        <v/>
      </c>
      <c r="M716" s="93">
        <f t="shared" si="4"/>
        <v>0</v>
      </c>
    </row>
    <row r="717">
      <c r="B717" s="173" t="str">
        <f>IFERROR(vlookup(A717,TSM!A:Q,8,FALSE),"")</f>
        <v/>
      </c>
      <c r="F717" s="93">
        <f t="shared" si="2"/>
        <v>0</v>
      </c>
      <c r="I717" s="173" t="str">
        <f>IFERROR(vlookup(A716,TSM!A:Q,2,FALSE),"")</f>
        <v/>
      </c>
      <c r="M717" s="93">
        <f t="shared" si="4"/>
        <v>0</v>
      </c>
    </row>
    <row r="718">
      <c r="B718" s="173" t="str">
        <f>IFERROR(vlookup(A718,TSM!A:Q,8,FALSE),"")</f>
        <v/>
      </c>
      <c r="F718" s="93">
        <f t="shared" si="2"/>
        <v>0</v>
      </c>
      <c r="I718" s="173" t="str">
        <f>IFERROR(vlookup(A717,TSM!A:Q,2,FALSE),"")</f>
        <v/>
      </c>
      <c r="M718" s="93">
        <f t="shared" si="4"/>
        <v>0</v>
      </c>
    </row>
    <row r="719">
      <c r="B719" s="173" t="str">
        <f>IFERROR(vlookup(A719,TSM!A:Q,8,FALSE),"")</f>
        <v/>
      </c>
      <c r="F719" s="93">
        <f t="shared" si="2"/>
        <v>0</v>
      </c>
      <c r="I719" s="173" t="str">
        <f>IFERROR(vlookup(A718,TSM!A:Q,2,FALSE),"")</f>
        <v/>
      </c>
      <c r="M719" s="93">
        <f t="shared" si="4"/>
        <v>0</v>
      </c>
    </row>
    <row r="720">
      <c r="B720" s="173" t="str">
        <f>IFERROR(vlookup(A720,TSM!A:Q,8,FALSE),"")</f>
        <v/>
      </c>
      <c r="F720" s="93">
        <f t="shared" si="2"/>
        <v>0</v>
      </c>
      <c r="I720" s="173" t="str">
        <f>IFERROR(vlookup(A719,TSM!A:Q,2,FALSE),"")</f>
        <v/>
      </c>
      <c r="M720" s="93">
        <f t="shared" si="4"/>
        <v>0</v>
      </c>
    </row>
    <row r="721">
      <c r="B721" s="173" t="str">
        <f>IFERROR(vlookup(A721,TSM!A:Q,8,FALSE),"")</f>
        <v/>
      </c>
      <c r="F721" s="93">
        <f t="shared" si="2"/>
        <v>0</v>
      </c>
      <c r="I721" s="173" t="str">
        <f>IFERROR(vlookup(A720,TSM!A:Q,2,FALSE),"")</f>
        <v/>
      </c>
      <c r="M721" s="93">
        <f t="shared" si="4"/>
        <v>0</v>
      </c>
    </row>
    <row r="722">
      <c r="B722" s="173" t="str">
        <f>IFERROR(vlookup(A722,TSM!A:Q,8,FALSE),"")</f>
        <v/>
      </c>
      <c r="F722" s="93">
        <f t="shared" si="2"/>
        <v>0</v>
      </c>
      <c r="I722" s="173" t="str">
        <f>IFERROR(vlookup(A721,TSM!A:Q,2,FALSE),"")</f>
        <v/>
      </c>
      <c r="M722" s="93">
        <f t="shared" si="4"/>
        <v>0</v>
      </c>
    </row>
    <row r="723">
      <c r="B723" s="173" t="str">
        <f>IFERROR(vlookup(A723,TSM!A:Q,8,FALSE),"")</f>
        <v/>
      </c>
      <c r="F723" s="93">
        <f t="shared" si="2"/>
        <v>0</v>
      </c>
      <c r="I723" s="173" t="str">
        <f>IFERROR(vlookup(A722,TSM!A:Q,2,FALSE),"")</f>
        <v/>
      </c>
      <c r="M723" s="93">
        <f t="shared" si="4"/>
        <v>0</v>
      </c>
    </row>
    <row r="724">
      <c r="B724" s="173" t="str">
        <f>IFERROR(vlookup(A724,TSM!A:Q,8,FALSE),"")</f>
        <v/>
      </c>
      <c r="F724" s="93">
        <f t="shared" si="2"/>
        <v>0</v>
      </c>
      <c r="I724" s="173" t="str">
        <f>IFERROR(vlookup(A723,TSM!A:Q,2,FALSE),"")</f>
        <v/>
      </c>
      <c r="M724" s="93">
        <f t="shared" si="4"/>
        <v>0</v>
      </c>
    </row>
    <row r="725">
      <c r="B725" s="173" t="str">
        <f>IFERROR(vlookup(A725,TSM!A:Q,8,FALSE),"")</f>
        <v/>
      </c>
      <c r="F725" s="93">
        <f t="shared" si="2"/>
        <v>0</v>
      </c>
      <c r="I725" s="173" t="str">
        <f>IFERROR(vlookup(A724,TSM!A:Q,2,FALSE),"")</f>
        <v/>
      </c>
      <c r="M725" s="93">
        <f t="shared" si="4"/>
        <v>0</v>
      </c>
    </row>
    <row r="726">
      <c r="B726" s="173" t="str">
        <f>IFERROR(vlookup(A726,TSM!A:Q,8,FALSE),"")</f>
        <v/>
      </c>
      <c r="F726" s="93">
        <f t="shared" si="2"/>
        <v>0</v>
      </c>
      <c r="I726" s="173" t="str">
        <f>IFERROR(vlookup(A725,TSM!A:Q,2,FALSE),"")</f>
        <v/>
      </c>
      <c r="M726" s="93">
        <f t="shared" si="4"/>
        <v>0</v>
      </c>
    </row>
    <row r="727">
      <c r="B727" s="173" t="str">
        <f>IFERROR(vlookup(A727,TSM!A:Q,8,FALSE),"")</f>
        <v/>
      </c>
      <c r="F727" s="93">
        <f t="shared" si="2"/>
        <v>0</v>
      </c>
      <c r="I727" s="173" t="str">
        <f>IFERROR(vlookup(A726,TSM!A:Q,2,FALSE),"")</f>
        <v/>
      </c>
      <c r="M727" s="93">
        <f t="shared" si="4"/>
        <v>0</v>
      </c>
    </row>
    <row r="728">
      <c r="B728" s="173" t="str">
        <f>IFERROR(vlookup(A728,TSM!A:Q,8,FALSE),"")</f>
        <v/>
      </c>
      <c r="F728" s="93">
        <f t="shared" si="2"/>
        <v>0</v>
      </c>
      <c r="I728" s="173" t="str">
        <f>IFERROR(vlookup(A727,TSM!A:Q,2,FALSE),"")</f>
        <v/>
      </c>
      <c r="M728" s="93">
        <f t="shared" si="4"/>
        <v>0</v>
      </c>
    </row>
    <row r="729">
      <c r="B729" s="173" t="str">
        <f>IFERROR(vlookup(A729,TSM!A:Q,8,FALSE),"")</f>
        <v/>
      </c>
      <c r="F729" s="93">
        <f t="shared" si="2"/>
        <v>0</v>
      </c>
      <c r="I729" s="173" t="str">
        <f>IFERROR(vlookup(A728,TSM!A:Q,2,FALSE),"")</f>
        <v/>
      </c>
      <c r="M729" s="93">
        <f t="shared" si="4"/>
        <v>0</v>
      </c>
    </row>
    <row r="730">
      <c r="B730" s="173" t="str">
        <f>IFERROR(vlookup(A730,TSM!A:Q,8,FALSE),"")</f>
        <v/>
      </c>
      <c r="F730" s="93">
        <f t="shared" si="2"/>
        <v>0</v>
      </c>
      <c r="I730" s="173" t="str">
        <f>IFERROR(vlookup(A729,TSM!A:Q,2,FALSE),"")</f>
        <v/>
      </c>
      <c r="M730" s="93">
        <f t="shared" si="4"/>
        <v>0</v>
      </c>
    </row>
    <row r="731">
      <c r="B731" s="173" t="str">
        <f>IFERROR(vlookup(A731,TSM!A:Q,8,FALSE),"")</f>
        <v/>
      </c>
      <c r="F731" s="93">
        <f t="shared" si="2"/>
        <v>0</v>
      </c>
      <c r="I731" s="173" t="str">
        <f>IFERROR(vlookup(A730,TSM!A:Q,2,FALSE),"")</f>
        <v/>
      </c>
      <c r="M731" s="93">
        <f t="shared" si="4"/>
        <v>0</v>
      </c>
    </row>
    <row r="732">
      <c r="B732" s="173" t="str">
        <f>IFERROR(vlookup(A732,TSM!A:Q,8,FALSE),"")</f>
        <v/>
      </c>
      <c r="F732" s="93">
        <f t="shared" si="2"/>
        <v>0</v>
      </c>
      <c r="I732" s="173" t="str">
        <f>IFERROR(vlookup(A731,TSM!A:Q,2,FALSE),"")</f>
        <v/>
      </c>
      <c r="M732" s="93">
        <f t="shared" si="4"/>
        <v>0</v>
      </c>
    </row>
    <row r="733">
      <c r="B733" s="173" t="str">
        <f>IFERROR(vlookup(A733,TSM!A:Q,8,FALSE),"")</f>
        <v/>
      </c>
      <c r="F733" s="93">
        <f t="shared" si="2"/>
        <v>0</v>
      </c>
      <c r="I733" s="173" t="str">
        <f>IFERROR(vlookup(A732,TSM!A:Q,2,FALSE),"")</f>
        <v/>
      </c>
      <c r="M733" s="93">
        <f t="shared" si="4"/>
        <v>0</v>
      </c>
    </row>
    <row r="734">
      <c r="B734" s="173" t="str">
        <f>IFERROR(vlookup(A734,TSM!A:Q,8,FALSE),"")</f>
        <v/>
      </c>
      <c r="F734" s="93">
        <f t="shared" si="2"/>
        <v>0</v>
      </c>
      <c r="I734" s="173" t="str">
        <f>IFERROR(vlookup(A733,TSM!A:Q,2,FALSE),"")</f>
        <v/>
      </c>
      <c r="M734" s="93">
        <f t="shared" si="4"/>
        <v>0</v>
      </c>
    </row>
    <row r="735">
      <c r="B735" s="173" t="str">
        <f>IFERROR(vlookup(A735,TSM!A:Q,8,FALSE),"")</f>
        <v/>
      </c>
      <c r="F735" s="93">
        <f t="shared" si="2"/>
        <v>0</v>
      </c>
      <c r="I735" s="173" t="str">
        <f>IFERROR(vlookup(A734,TSM!A:Q,2,FALSE),"")</f>
        <v/>
      </c>
      <c r="M735" s="93">
        <f t="shared" si="4"/>
        <v>0</v>
      </c>
    </row>
    <row r="736">
      <c r="B736" s="173" t="str">
        <f>IFERROR(vlookup(A736,TSM!A:Q,8,FALSE),"")</f>
        <v/>
      </c>
      <c r="F736" s="93">
        <f t="shared" si="2"/>
        <v>0</v>
      </c>
      <c r="I736" s="173" t="str">
        <f>IFERROR(vlookup(A735,TSM!A:Q,2,FALSE),"")</f>
        <v/>
      </c>
      <c r="M736" s="93">
        <f t="shared" si="4"/>
        <v>0</v>
      </c>
    </row>
    <row r="737">
      <c r="B737" s="173" t="str">
        <f>IFERROR(vlookup(A737,TSM!A:Q,8,FALSE),"")</f>
        <v/>
      </c>
      <c r="F737" s="93">
        <f t="shared" si="2"/>
        <v>0</v>
      </c>
      <c r="I737" s="173" t="str">
        <f>IFERROR(vlookup(A736,TSM!A:Q,2,FALSE),"")</f>
        <v/>
      </c>
      <c r="M737" s="93">
        <f t="shared" si="4"/>
        <v>0</v>
      </c>
    </row>
    <row r="738">
      <c r="B738" s="173" t="str">
        <f>IFERROR(vlookup(A738,TSM!A:Q,8,FALSE),"")</f>
        <v/>
      </c>
      <c r="F738" s="93">
        <f t="shared" si="2"/>
        <v>0</v>
      </c>
      <c r="I738" s="173" t="str">
        <f>IFERROR(vlookup(A737,TSM!A:Q,2,FALSE),"")</f>
        <v/>
      </c>
      <c r="M738" s="93">
        <f t="shared" si="4"/>
        <v>0</v>
      </c>
    </row>
    <row r="739">
      <c r="B739" s="173" t="str">
        <f>IFERROR(vlookup(A739,TSM!A:Q,8,FALSE),"")</f>
        <v/>
      </c>
      <c r="F739" s="93">
        <f t="shared" si="2"/>
        <v>0</v>
      </c>
      <c r="I739" s="173" t="str">
        <f>IFERROR(vlookup(A738,TSM!A:Q,2,FALSE),"")</f>
        <v/>
      </c>
      <c r="M739" s="93">
        <f t="shared" si="4"/>
        <v>0</v>
      </c>
    </row>
    <row r="740">
      <c r="B740" s="173" t="str">
        <f>IFERROR(vlookup(A740,TSM!A:Q,8,FALSE),"")</f>
        <v/>
      </c>
      <c r="F740" s="93">
        <f t="shared" si="2"/>
        <v>0</v>
      </c>
      <c r="I740" s="173" t="str">
        <f>IFERROR(vlookup(A739,TSM!A:Q,2,FALSE),"")</f>
        <v/>
      </c>
      <c r="M740" s="93">
        <f t="shared" si="4"/>
        <v>0</v>
      </c>
    </row>
    <row r="741">
      <c r="B741" s="173" t="str">
        <f>IFERROR(vlookup(A741,TSM!A:Q,8,FALSE),"")</f>
        <v/>
      </c>
      <c r="F741" s="93">
        <f t="shared" si="2"/>
        <v>0</v>
      </c>
      <c r="I741" s="173" t="str">
        <f>IFERROR(vlookup(A740,TSM!A:Q,2,FALSE),"")</f>
        <v/>
      </c>
      <c r="M741" s="93">
        <f t="shared" si="4"/>
        <v>0</v>
      </c>
    </row>
    <row r="742">
      <c r="B742" s="173" t="str">
        <f>IFERROR(vlookup(A742,TSM!A:Q,8,FALSE),"")</f>
        <v/>
      </c>
      <c r="F742" s="93">
        <f t="shared" si="2"/>
        <v>0</v>
      </c>
      <c r="I742" s="173" t="str">
        <f>IFERROR(vlookup(A741,TSM!A:Q,2,FALSE),"")</f>
        <v/>
      </c>
      <c r="M742" s="93">
        <f t="shared" si="4"/>
        <v>0</v>
      </c>
    </row>
    <row r="743">
      <c r="B743" s="173" t="str">
        <f>IFERROR(vlookup(A743,TSM!A:Q,8,FALSE),"")</f>
        <v/>
      </c>
      <c r="F743" s="93">
        <f t="shared" si="2"/>
        <v>0</v>
      </c>
      <c r="I743" s="173" t="str">
        <f>IFERROR(vlookup(A742,TSM!A:Q,2,FALSE),"")</f>
        <v/>
      </c>
      <c r="M743" s="93">
        <f t="shared" si="4"/>
        <v>0</v>
      </c>
    </row>
    <row r="744">
      <c r="B744" s="173" t="str">
        <f>IFERROR(vlookup(A744,TSM!A:Q,8,FALSE),"")</f>
        <v/>
      </c>
      <c r="F744" s="93">
        <f t="shared" si="2"/>
        <v>0</v>
      </c>
      <c r="I744" s="173" t="str">
        <f>IFERROR(vlookup(A743,TSM!A:Q,2,FALSE),"")</f>
        <v/>
      </c>
      <c r="M744" s="93">
        <f t="shared" si="4"/>
        <v>0</v>
      </c>
    </row>
    <row r="745">
      <c r="B745" s="173" t="str">
        <f>IFERROR(vlookup(A745,TSM!A:Q,8,FALSE),"")</f>
        <v/>
      </c>
      <c r="F745" s="93">
        <f t="shared" si="2"/>
        <v>0</v>
      </c>
      <c r="I745" s="173" t="str">
        <f>IFERROR(vlookup(A744,TSM!A:Q,2,FALSE),"")</f>
        <v/>
      </c>
      <c r="M745" s="93">
        <f t="shared" si="4"/>
        <v>0</v>
      </c>
    </row>
    <row r="746">
      <c r="B746" s="173" t="str">
        <f>IFERROR(vlookup(A746,TSM!A:Q,8,FALSE),"")</f>
        <v/>
      </c>
      <c r="F746" s="93">
        <f t="shared" si="2"/>
        <v>0</v>
      </c>
      <c r="I746" s="173" t="str">
        <f>IFERROR(vlookup(A745,TSM!A:Q,2,FALSE),"")</f>
        <v/>
      </c>
      <c r="M746" s="93">
        <f t="shared" si="4"/>
        <v>0</v>
      </c>
    </row>
    <row r="747">
      <c r="B747" s="173" t="str">
        <f>IFERROR(vlookup(A747,TSM!A:Q,8,FALSE),"")</f>
        <v/>
      </c>
      <c r="F747" s="93">
        <f t="shared" si="2"/>
        <v>0</v>
      </c>
      <c r="I747" s="173" t="str">
        <f>IFERROR(vlookup(A746,TSM!A:Q,2,FALSE),"")</f>
        <v/>
      </c>
      <c r="M747" s="93">
        <f t="shared" si="4"/>
        <v>0</v>
      </c>
    </row>
    <row r="748">
      <c r="B748" s="173" t="str">
        <f>IFERROR(vlookup(A748,TSM!A:Q,8,FALSE),"")</f>
        <v/>
      </c>
      <c r="F748" s="93">
        <f t="shared" si="2"/>
        <v>0</v>
      </c>
      <c r="I748" s="173" t="str">
        <f>IFERROR(vlookup(A747,TSM!A:Q,2,FALSE),"")</f>
        <v/>
      </c>
      <c r="M748" s="93">
        <f t="shared" si="4"/>
        <v>0</v>
      </c>
    </row>
    <row r="749">
      <c r="B749" s="173" t="str">
        <f>IFERROR(vlookup(A749,TSM!A:Q,8,FALSE),"")</f>
        <v/>
      </c>
      <c r="F749" s="93">
        <f t="shared" si="2"/>
        <v>0</v>
      </c>
      <c r="I749" s="173" t="str">
        <f>IFERROR(vlookup(A748,TSM!A:Q,2,FALSE),"")</f>
        <v/>
      </c>
      <c r="M749" s="93">
        <f t="shared" si="4"/>
        <v>0</v>
      </c>
    </row>
    <row r="750">
      <c r="B750" s="173" t="str">
        <f>IFERROR(vlookup(A750,TSM!A:Q,8,FALSE),"")</f>
        <v/>
      </c>
      <c r="F750" s="93">
        <f t="shared" si="2"/>
        <v>0</v>
      </c>
      <c r="I750" s="173" t="str">
        <f>IFERROR(vlookup(A749,TSM!A:Q,2,FALSE),"")</f>
        <v/>
      </c>
      <c r="M750" s="93">
        <f t="shared" si="4"/>
        <v>0</v>
      </c>
    </row>
    <row r="751">
      <c r="B751" s="173" t="str">
        <f>IFERROR(vlookup(A751,TSM!A:Q,8,FALSE),"")</f>
        <v/>
      </c>
      <c r="F751" s="93">
        <f t="shared" si="2"/>
        <v>0</v>
      </c>
      <c r="I751" s="173" t="str">
        <f>IFERROR(vlookup(A750,TSM!A:Q,2,FALSE),"")</f>
        <v/>
      </c>
      <c r="M751" s="93">
        <f t="shared" si="4"/>
        <v>0</v>
      </c>
    </row>
    <row r="752">
      <c r="B752" s="173" t="str">
        <f>IFERROR(vlookup(A752,TSM!A:Q,8,FALSE),"")</f>
        <v/>
      </c>
      <c r="F752" s="93">
        <f t="shared" si="2"/>
        <v>0</v>
      </c>
      <c r="I752" s="173" t="str">
        <f>IFERROR(vlookup(A751,TSM!A:Q,2,FALSE),"")</f>
        <v/>
      </c>
      <c r="M752" s="93">
        <f t="shared" si="4"/>
        <v>0</v>
      </c>
    </row>
    <row r="753">
      <c r="B753" s="173" t="str">
        <f>IFERROR(vlookup(A753,TSM!A:Q,8,FALSE),"")</f>
        <v/>
      </c>
      <c r="F753" s="93">
        <f t="shared" si="2"/>
        <v>0</v>
      </c>
      <c r="I753" s="173" t="str">
        <f>IFERROR(vlookup(A752,TSM!A:Q,2,FALSE),"")</f>
        <v/>
      </c>
      <c r="M753" s="93">
        <f t="shared" si="4"/>
        <v>0</v>
      </c>
    </row>
    <row r="754">
      <c r="B754" s="173" t="str">
        <f>IFERROR(vlookup(A754,TSM!A:Q,8,FALSE),"")</f>
        <v/>
      </c>
      <c r="F754" s="93">
        <f t="shared" si="2"/>
        <v>0</v>
      </c>
      <c r="I754" s="173" t="str">
        <f>IFERROR(vlookup(A753,TSM!A:Q,2,FALSE),"")</f>
        <v/>
      </c>
      <c r="M754" s="93">
        <f t="shared" si="4"/>
        <v>0</v>
      </c>
    </row>
    <row r="755">
      <c r="B755" s="173" t="str">
        <f>IFERROR(vlookup(A755,TSM!A:Q,8,FALSE),"")</f>
        <v/>
      </c>
      <c r="F755" s="93">
        <f t="shared" si="2"/>
        <v>0</v>
      </c>
      <c r="I755" s="173" t="str">
        <f>IFERROR(vlookup(A754,TSM!A:Q,2,FALSE),"")</f>
        <v/>
      </c>
      <c r="M755" s="93">
        <f t="shared" si="4"/>
        <v>0</v>
      </c>
    </row>
    <row r="756">
      <c r="B756" s="173" t="str">
        <f>IFERROR(vlookup(A756,TSM!A:Q,8,FALSE),"")</f>
        <v/>
      </c>
      <c r="F756" s="93">
        <f t="shared" si="2"/>
        <v>0</v>
      </c>
      <c r="I756" s="173" t="str">
        <f>IFERROR(vlookup(A755,TSM!A:Q,2,FALSE),"")</f>
        <v/>
      </c>
      <c r="M756" s="93">
        <f t="shared" si="4"/>
        <v>0</v>
      </c>
    </row>
    <row r="757">
      <c r="B757" s="173" t="str">
        <f>IFERROR(vlookup(A757,TSM!A:Q,8,FALSE),"")</f>
        <v/>
      </c>
      <c r="F757" s="93">
        <f t="shared" si="2"/>
        <v>0</v>
      </c>
      <c r="I757" s="173" t="str">
        <f>IFERROR(vlookup(A756,TSM!A:Q,2,FALSE),"")</f>
        <v/>
      </c>
      <c r="M757" s="93">
        <f t="shared" si="4"/>
        <v>0</v>
      </c>
    </row>
    <row r="758">
      <c r="B758" s="173" t="str">
        <f>IFERROR(vlookup(A758,TSM!A:Q,8,FALSE),"")</f>
        <v/>
      </c>
      <c r="F758" s="93">
        <f t="shared" si="2"/>
        <v>0</v>
      </c>
      <c r="I758" s="173" t="str">
        <f>IFERROR(vlookup(A757,TSM!A:Q,2,FALSE),"")</f>
        <v/>
      </c>
      <c r="M758" s="93">
        <f t="shared" si="4"/>
        <v>0</v>
      </c>
    </row>
    <row r="759">
      <c r="B759" s="173" t="str">
        <f>IFERROR(vlookup(A759,TSM!A:Q,8,FALSE),"")</f>
        <v/>
      </c>
      <c r="F759" s="93">
        <f t="shared" si="2"/>
        <v>0</v>
      </c>
      <c r="I759" s="173" t="str">
        <f>IFERROR(vlookup(A758,TSM!A:Q,2,FALSE),"")</f>
        <v/>
      </c>
      <c r="M759" s="93">
        <f t="shared" si="4"/>
        <v>0</v>
      </c>
    </row>
    <row r="760">
      <c r="B760" s="173" t="str">
        <f>IFERROR(vlookup(A760,TSM!A:Q,8,FALSE),"")</f>
        <v/>
      </c>
      <c r="F760" s="93">
        <f t="shared" si="2"/>
        <v>0</v>
      </c>
      <c r="I760" s="173" t="str">
        <f>IFERROR(vlookup(A759,TSM!A:Q,2,FALSE),"")</f>
        <v/>
      </c>
      <c r="M760" s="93">
        <f t="shared" si="4"/>
        <v>0</v>
      </c>
    </row>
    <row r="761">
      <c r="B761" s="173" t="str">
        <f>IFERROR(vlookup(A761,TSM!A:Q,8,FALSE),"")</f>
        <v/>
      </c>
      <c r="F761" s="93">
        <f t="shared" si="2"/>
        <v>0</v>
      </c>
      <c r="I761" s="173" t="str">
        <f>IFERROR(vlookup(A760,TSM!A:Q,2,FALSE),"")</f>
        <v/>
      </c>
      <c r="M761" s="93">
        <f t="shared" si="4"/>
        <v>0</v>
      </c>
    </row>
    <row r="762">
      <c r="B762" s="173" t="str">
        <f>IFERROR(vlookup(A762,TSM!A:Q,8,FALSE),"")</f>
        <v/>
      </c>
      <c r="F762" s="93">
        <f t="shared" si="2"/>
        <v>0</v>
      </c>
      <c r="I762" s="173" t="str">
        <f>IFERROR(vlookup(A761,TSM!A:Q,2,FALSE),"")</f>
        <v/>
      </c>
      <c r="M762" s="93">
        <f t="shared" si="4"/>
        <v>0</v>
      </c>
    </row>
    <row r="763">
      <c r="B763" s="173" t="str">
        <f>IFERROR(vlookup(A763,TSM!A:Q,8,FALSE),"")</f>
        <v/>
      </c>
      <c r="F763" s="93">
        <f t="shared" si="2"/>
        <v>0</v>
      </c>
      <c r="I763" s="173" t="str">
        <f>IFERROR(vlookup(A762,TSM!A:Q,2,FALSE),"")</f>
        <v/>
      </c>
      <c r="M763" s="93">
        <f t="shared" si="4"/>
        <v>0</v>
      </c>
    </row>
    <row r="764">
      <c r="B764" s="173" t="str">
        <f>IFERROR(vlookup(A764,TSM!A:Q,8,FALSE),"")</f>
        <v/>
      </c>
      <c r="F764" s="93">
        <f t="shared" si="2"/>
        <v>0</v>
      </c>
      <c r="I764" s="173" t="str">
        <f>IFERROR(vlookup(A763,TSM!A:Q,2,FALSE),"")</f>
        <v/>
      </c>
      <c r="M764" s="93">
        <f t="shared" si="4"/>
        <v>0</v>
      </c>
    </row>
    <row r="765">
      <c r="B765" s="173" t="str">
        <f>IFERROR(vlookup(A765,TSM!A:Q,8,FALSE),"")</f>
        <v/>
      </c>
      <c r="F765" s="93">
        <f t="shared" si="2"/>
        <v>0</v>
      </c>
      <c r="I765" s="173" t="str">
        <f>IFERROR(vlookup(A764,TSM!A:Q,2,FALSE),"")</f>
        <v/>
      </c>
      <c r="M765" s="93">
        <f t="shared" si="4"/>
        <v>0</v>
      </c>
    </row>
    <row r="766">
      <c r="B766" s="173" t="str">
        <f>IFERROR(vlookup(A766,TSM!A:Q,8,FALSE),"")</f>
        <v/>
      </c>
      <c r="F766" s="93">
        <f t="shared" si="2"/>
        <v>0</v>
      </c>
      <c r="I766" s="173" t="str">
        <f>IFERROR(vlookup(A765,TSM!A:Q,2,FALSE),"")</f>
        <v/>
      </c>
      <c r="M766" s="93">
        <f t="shared" si="4"/>
        <v>0</v>
      </c>
    </row>
    <row r="767">
      <c r="B767" s="173" t="str">
        <f>IFERROR(vlookup(A767,TSM!A:Q,8,FALSE),"")</f>
        <v/>
      </c>
      <c r="F767" s="93">
        <f t="shared" si="2"/>
        <v>0</v>
      </c>
      <c r="I767" s="173" t="str">
        <f>IFERROR(vlookup(A766,TSM!A:Q,2,FALSE),"")</f>
        <v/>
      </c>
      <c r="M767" s="93">
        <f t="shared" si="4"/>
        <v>0</v>
      </c>
    </row>
    <row r="768">
      <c r="B768" s="173" t="str">
        <f>IFERROR(vlookup(A768,TSM!A:Q,8,FALSE),"")</f>
        <v/>
      </c>
      <c r="F768" s="93">
        <f t="shared" si="2"/>
        <v>0</v>
      </c>
      <c r="I768" s="173" t="str">
        <f>IFERROR(vlookup(A767,TSM!A:Q,2,FALSE),"")</f>
        <v/>
      </c>
      <c r="M768" s="93">
        <f t="shared" si="4"/>
        <v>0</v>
      </c>
    </row>
    <row r="769">
      <c r="B769" s="173" t="str">
        <f>IFERROR(vlookup(A769,TSM!A:Q,8,FALSE),"")</f>
        <v/>
      </c>
      <c r="F769" s="93">
        <f t="shared" si="2"/>
        <v>0</v>
      </c>
      <c r="I769" s="173" t="str">
        <f>IFERROR(vlookup(A768,TSM!A:Q,2,FALSE),"")</f>
        <v/>
      </c>
      <c r="M769" s="93">
        <f t="shared" si="4"/>
        <v>0</v>
      </c>
    </row>
    <row r="770">
      <c r="B770" s="173" t="str">
        <f>IFERROR(vlookup(A770,TSM!A:Q,8,FALSE),"")</f>
        <v/>
      </c>
      <c r="F770" s="93">
        <f t="shared" si="2"/>
        <v>0</v>
      </c>
      <c r="I770" s="173" t="str">
        <f>IFERROR(vlookup(A769,TSM!A:Q,2,FALSE),"")</f>
        <v/>
      </c>
      <c r="M770" s="93">
        <f t="shared" si="4"/>
        <v>0</v>
      </c>
    </row>
    <row r="771">
      <c r="B771" s="173" t="str">
        <f>IFERROR(vlookup(A771,TSM!A:Q,8,FALSE),"")</f>
        <v/>
      </c>
      <c r="F771" s="93">
        <f t="shared" si="2"/>
        <v>0</v>
      </c>
      <c r="I771" s="173" t="str">
        <f>IFERROR(vlookup(A770,TSM!A:Q,2,FALSE),"")</f>
        <v/>
      </c>
      <c r="M771" s="93">
        <f t="shared" si="4"/>
        <v>0</v>
      </c>
    </row>
    <row r="772">
      <c r="B772" s="173" t="str">
        <f>IFERROR(vlookup(A772,TSM!A:Q,8,FALSE),"")</f>
        <v/>
      </c>
      <c r="F772" s="93">
        <f t="shared" si="2"/>
        <v>0</v>
      </c>
      <c r="I772" s="173" t="str">
        <f>IFERROR(vlookup(A771,TSM!A:Q,2,FALSE),"")</f>
        <v/>
      </c>
      <c r="M772" s="93">
        <f t="shared" si="4"/>
        <v>0</v>
      </c>
    </row>
    <row r="773">
      <c r="B773" s="173" t="str">
        <f>IFERROR(vlookup(A773,TSM!A:Q,8,FALSE),"")</f>
        <v/>
      </c>
      <c r="F773" s="93">
        <f t="shared" si="2"/>
        <v>0</v>
      </c>
      <c r="I773" s="173" t="str">
        <f>IFERROR(vlookup(A772,TSM!A:Q,2,FALSE),"")</f>
        <v/>
      </c>
      <c r="M773" s="93">
        <f t="shared" si="4"/>
        <v>0</v>
      </c>
    </row>
    <row r="774">
      <c r="B774" s="173" t="str">
        <f>IFERROR(vlookup(A774,TSM!A:Q,8,FALSE),"")</f>
        <v/>
      </c>
      <c r="F774" s="93">
        <f t="shared" si="2"/>
        <v>0</v>
      </c>
      <c r="I774" s="173" t="str">
        <f>IFERROR(vlookup(A773,TSM!A:Q,2,FALSE),"")</f>
        <v/>
      </c>
      <c r="M774" s="93">
        <f t="shared" si="4"/>
        <v>0</v>
      </c>
    </row>
    <row r="775">
      <c r="B775" s="173" t="str">
        <f>IFERROR(vlookup(A775,TSM!A:Q,8,FALSE),"")</f>
        <v/>
      </c>
      <c r="F775" s="93">
        <f t="shared" si="2"/>
        <v>0</v>
      </c>
      <c r="I775" s="173" t="str">
        <f>IFERROR(vlookup(A774,TSM!A:Q,2,FALSE),"")</f>
        <v/>
      </c>
      <c r="M775" s="93">
        <f t="shared" si="4"/>
        <v>0</v>
      </c>
    </row>
    <row r="776">
      <c r="B776" s="173" t="str">
        <f>IFERROR(vlookup(A776,TSM!A:Q,8,FALSE),"")</f>
        <v/>
      </c>
      <c r="F776" s="93">
        <f t="shared" si="2"/>
        <v>0</v>
      </c>
      <c r="I776" s="173" t="str">
        <f>IFERROR(vlookup(A775,TSM!A:Q,2,FALSE),"")</f>
        <v/>
      </c>
      <c r="M776" s="93">
        <f t="shared" si="4"/>
        <v>0</v>
      </c>
    </row>
    <row r="777">
      <c r="B777" s="173" t="str">
        <f>IFERROR(vlookup(A777,TSM!A:Q,8,FALSE),"")</f>
        <v/>
      </c>
      <c r="F777" s="93">
        <f t="shared" si="2"/>
        <v>0</v>
      </c>
      <c r="I777" s="173" t="str">
        <f>IFERROR(vlookup(A776,TSM!A:Q,2,FALSE),"")</f>
        <v/>
      </c>
      <c r="M777" s="93">
        <f t="shared" si="4"/>
        <v>0</v>
      </c>
    </row>
    <row r="778">
      <c r="B778" s="173" t="str">
        <f>IFERROR(vlookup(A778,TSM!A:Q,8,FALSE),"")</f>
        <v/>
      </c>
      <c r="F778" s="93">
        <f t="shared" si="2"/>
        <v>0</v>
      </c>
      <c r="I778" s="173" t="str">
        <f>IFERROR(vlookup(A777,TSM!A:Q,2,FALSE),"")</f>
        <v/>
      </c>
      <c r="M778" s="93">
        <f t="shared" si="4"/>
        <v>0</v>
      </c>
    </row>
    <row r="779">
      <c r="B779" s="173" t="str">
        <f>IFERROR(vlookup(A779,TSM!A:Q,8,FALSE),"")</f>
        <v/>
      </c>
      <c r="F779" s="93">
        <f t="shared" si="2"/>
        <v>0</v>
      </c>
      <c r="I779" s="173" t="str">
        <f>IFERROR(vlookup(A778,TSM!A:Q,2,FALSE),"")</f>
        <v/>
      </c>
      <c r="M779" s="93">
        <f t="shared" si="4"/>
        <v>0</v>
      </c>
    </row>
    <row r="780">
      <c r="B780" s="173" t="str">
        <f>IFERROR(vlookup(A780,TSM!A:Q,8,FALSE),"")</f>
        <v/>
      </c>
      <c r="F780" s="93">
        <f t="shared" si="2"/>
        <v>0</v>
      </c>
      <c r="I780" s="173" t="str">
        <f>IFERROR(vlookup(A779,TSM!A:Q,2,FALSE),"")</f>
        <v/>
      </c>
      <c r="M780" s="93">
        <f t="shared" si="4"/>
        <v>0</v>
      </c>
    </row>
    <row r="781">
      <c r="B781" s="173" t="str">
        <f>IFERROR(vlookup(A781,TSM!A:Q,8,FALSE),"")</f>
        <v/>
      </c>
      <c r="F781" s="93">
        <f t="shared" si="2"/>
        <v>0</v>
      </c>
      <c r="I781" s="173" t="str">
        <f>IFERROR(vlookup(A780,TSM!A:Q,2,FALSE),"")</f>
        <v/>
      </c>
      <c r="M781" s="93">
        <f t="shared" si="4"/>
        <v>0</v>
      </c>
    </row>
    <row r="782">
      <c r="B782" s="173" t="str">
        <f>IFERROR(vlookup(A782,TSM!A:Q,8,FALSE),"")</f>
        <v/>
      </c>
      <c r="F782" s="93">
        <f t="shared" si="2"/>
        <v>0</v>
      </c>
      <c r="I782" s="173" t="str">
        <f>IFERROR(vlookup(A781,TSM!A:Q,2,FALSE),"")</f>
        <v/>
      </c>
      <c r="M782" s="93">
        <f t="shared" si="4"/>
        <v>0</v>
      </c>
    </row>
    <row r="783">
      <c r="B783" s="173" t="str">
        <f>IFERROR(vlookup(A783,TSM!A:Q,8,FALSE),"")</f>
        <v/>
      </c>
      <c r="F783" s="93">
        <f t="shared" si="2"/>
        <v>0</v>
      </c>
      <c r="I783" s="173" t="str">
        <f>IFERROR(vlookup(A782,TSM!A:Q,2,FALSE),"")</f>
        <v/>
      </c>
      <c r="M783" s="93">
        <f t="shared" si="4"/>
        <v>0</v>
      </c>
    </row>
    <row r="784">
      <c r="B784" s="173" t="str">
        <f>IFERROR(vlookup(A784,TSM!A:Q,8,FALSE),"")</f>
        <v/>
      </c>
      <c r="F784" s="93">
        <f t="shared" si="2"/>
        <v>0</v>
      </c>
      <c r="I784" s="173" t="str">
        <f>IFERROR(vlookup(A783,TSM!A:Q,2,FALSE),"")</f>
        <v/>
      </c>
      <c r="M784" s="93">
        <f t="shared" si="4"/>
        <v>0</v>
      </c>
    </row>
    <row r="785">
      <c r="B785" s="173" t="str">
        <f>IFERROR(vlookup(A785,TSM!A:Q,8,FALSE),"")</f>
        <v/>
      </c>
      <c r="F785" s="93">
        <f t="shared" si="2"/>
        <v>0</v>
      </c>
      <c r="I785" s="173" t="str">
        <f>IFERROR(vlookup(A784,TSM!A:Q,2,FALSE),"")</f>
        <v/>
      </c>
      <c r="M785" s="93">
        <f t="shared" si="4"/>
        <v>0</v>
      </c>
    </row>
    <row r="786">
      <c r="B786" s="173" t="str">
        <f>IFERROR(vlookup(A786,TSM!A:Q,8,FALSE),"")</f>
        <v/>
      </c>
      <c r="F786" s="93">
        <f t="shared" si="2"/>
        <v>0</v>
      </c>
      <c r="I786" s="173" t="str">
        <f>IFERROR(vlookup(A785,TSM!A:Q,2,FALSE),"")</f>
        <v/>
      </c>
      <c r="M786" s="93">
        <f t="shared" si="4"/>
        <v>0</v>
      </c>
    </row>
    <row r="787">
      <c r="B787" s="173" t="str">
        <f>IFERROR(vlookup(A787,TSM!A:Q,8,FALSE),"")</f>
        <v/>
      </c>
      <c r="F787" s="93">
        <f t="shared" si="2"/>
        <v>0</v>
      </c>
      <c r="I787" s="173" t="str">
        <f>IFERROR(vlookup(A786,TSM!A:Q,2,FALSE),"")</f>
        <v/>
      </c>
      <c r="M787" s="93">
        <f t="shared" si="4"/>
        <v>0</v>
      </c>
    </row>
    <row r="788">
      <c r="B788" s="173" t="str">
        <f>IFERROR(vlookup(A788,TSM!A:Q,8,FALSE),"")</f>
        <v/>
      </c>
      <c r="F788" s="93">
        <f t="shared" si="2"/>
        <v>0</v>
      </c>
      <c r="I788" s="173" t="str">
        <f>IFERROR(vlookup(A787,TSM!A:Q,2,FALSE),"")</f>
        <v/>
      </c>
      <c r="M788" s="93">
        <f t="shared" si="4"/>
        <v>0</v>
      </c>
    </row>
    <row r="789">
      <c r="B789" s="173" t="str">
        <f>IFERROR(vlookup(A789,TSM!A:Q,8,FALSE),"")</f>
        <v/>
      </c>
      <c r="F789" s="93">
        <f t="shared" si="2"/>
        <v>0</v>
      </c>
      <c r="I789" s="173" t="str">
        <f>IFERROR(vlookup(A788,TSM!A:Q,2,FALSE),"")</f>
        <v/>
      </c>
      <c r="M789" s="93">
        <f t="shared" si="4"/>
        <v>0</v>
      </c>
    </row>
    <row r="790">
      <c r="B790" s="173" t="str">
        <f>IFERROR(vlookup(A790,TSM!A:Q,8,FALSE),"")</f>
        <v/>
      </c>
      <c r="F790" s="93">
        <f t="shared" si="2"/>
        <v>0</v>
      </c>
      <c r="I790" s="173" t="str">
        <f>IFERROR(vlookup(A789,TSM!A:Q,2,FALSE),"")</f>
        <v/>
      </c>
      <c r="M790" s="93">
        <f t="shared" si="4"/>
        <v>0</v>
      </c>
    </row>
    <row r="791">
      <c r="B791" s="173" t="str">
        <f>IFERROR(vlookup(A791,TSM!A:Q,8,FALSE),"")</f>
        <v/>
      </c>
      <c r="F791" s="93">
        <f t="shared" si="2"/>
        <v>0</v>
      </c>
      <c r="I791" s="173" t="str">
        <f>IFERROR(vlookup(A790,TSM!A:Q,2,FALSE),"")</f>
        <v/>
      </c>
      <c r="M791" s="93">
        <f t="shared" si="4"/>
        <v>0</v>
      </c>
    </row>
    <row r="792">
      <c r="B792" s="173" t="str">
        <f>IFERROR(vlookup(A792,TSM!A:Q,8,FALSE),"")</f>
        <v/>
      </c>
      <c r="F792" s="93">
        <f t="shared" si="2"/>
        <v>0</v>
      </c>
      <c r="I792" s="173" t="str">
        <f>IFERROR(vlookup(A791,TSM!A:Q,2,FALSE),"")</f>
        <v/>
      </c>
      <c r="M792" s="93">
        <f t="shared" si="4"/>
        <v>0</v>
      </c>
    </row>
    <row r="793">
      <c r="B793" s="173" t="str">
        <f>IFERROR(vlookup(A793,TSM!A:Q,8,FALSE),"")</f>
        <v/>
      </c>
      <c r="F793" s="93">
        <f t="shared" si="2"/>
        <v>0</v>
      </c>
      <c r="I793" s="173" t="str">
        <f>IFERROR(vlookup(A792,TSM!A:Q,2,FALSE),"")</f>
        <v/>
      </c>
      <c r="M793" s="93">
        <f t="shared" si="4"/>
        <v>0</v>
      </c>
    </row>
    <row r="794">
      <c r="B794" s="173" t="str">
        <f>IFERROR(vlookup(A794,TSM!A:Q,8,FALSE),"")</f>
        <v/>
      </c>
      <c r="F794" s="93">
        <f t="shared" si="2"/>
        <v>0</v>
      </c>
      <c r="I794" s="173" t="str">
        <f>IFERROR(vlookup(A793,TSM!A:Q,2,FALSE),"")</f>
        <v/>
      </c>
      <c r="M794" s="93">
        <f t="shared" si="4"/>
        <v>0</v>
      </c>
    </row>
    <row r="795">
      <c r="B795" s="173" t="str">
        <f>IFERROR(vlookup(A795,TSM!A:Q,8,FALSE),"")</f>
        <v/>
      </c>
      <c r="F795" s="93">
        <f t="shared" si="2"/>
        <v>0</v>
      </c>
      <c r="I795" s="173" t="str">
        <f>IFERROR(vlookup(A794,TSM!A:Q,2,FALSE),"")</f>
        <v/>
      </c>
      <c r="M795" s="93">
        <f t="shared" si="4"/>
        <v>0</v>
      </c>
    </row>
    <row r="796">
      <c r="B796" s="173" t="str">
        <f>IFERROR(vlookup(A796,TSM!A:Q,8,FALSE),"")</f>
        <v/>
      </c>
      <c r="F796" s="93">
        <f t="shared" si="2"/>
        <v>0</v>
      </c>
      <c r="I796" s="173" t="str">
        <f>IFERROR(vlookup(A795,TSM!A:Q,2,FALSE),"")</f>
        <v/>
      </c>
      <c r="M796" s="93">
        <f t="shared" si="4"/>
        <v>0</v>
      </c>
    </row>
    <row r="797">
      <c r="B797" s="173" t="str">
        <f>IFERROR(vlookup(A797,TSM!A:Q,8,FALSE),"")</f>
        <v/>
      </c>
      <c r="F797" s="93">
        <f t="shared" si="2"/>
        <v>0</v>
      </c>
      <c r="I797" s="173" t="str">
        <f>IFERROR(vlookup(A796,TSM!A:Q,2,FALSE),"")</f>
        <v/>
      </c>
      <c r="M797" s="93">
        <f t="shared" si="4"/>
        <v>0</v>
      </c>
    </row>
    <row r="798">
      <c r="B798" s="173" t="str">
        <f>IFERROR(vlookup(A798,TSM!A:Q,8,FALSE),"")</f>
        <v/>
      </c>
      <c r="F798" s="93">
        <f t="shared" si="2"/>
        <v>0</v>
      </c>
      <c r="I798" s="173" t="str">
        <f>IFERROR(vlookup(A797,TSM!A:Q,2,FALSE),"")</f>
        <v/>
      </c>
      <c r="M798" s="93">
        <f t="shared" si="4"/>
        <v>0</v>
      </c>
    </row>
    <row r="799">
      <c r="B799" s="173" t="str">
        <f>IFERROR(vlookup(A799,TSM!A:Q,8,FALSE),"")</f>
        <v/>
      </c>
      <c r="F799" s="93">
        <f t="shared" si="2"/>
        <v>0</v>
      </c>
      <c r="I799" s="173" t="str">
        <f>IFERROR(vlookup(A798,TSM!A:Q,2,FALSE),"")</f>
        <v/>
      </c>
      <c r="M799" s="93">
        <f t="shared" si="4"/>
        <v>0</v>
      </c>
    </row>
    <row r="800">
      <c r="B800" s="173" t="str">
        <f>IFERROR(vlookup(A800,TSM!A:Q,8,FALSE),"")</f>
        <v/>
      </c>
      <c r="F800" s="93">
        <f t="shared" si="2"/>
        <v>0</v>
      </c>
      <c r="I800" s="173" t="str">
        <f>IFERROR(vlookup(A799,TSM!A:Q,2,FALSE),"")</f>
        <v/>
      </c>
      <c r="M800" s="93">
        <f t="shared" si="4"/>
        <v>0</v>
      </c>
    </row>
    <row r="801">
      <c r="B801" s="173" t="str">
        <f>IFERROR(vlookup(A801,TSM!A:Q,8,FALSE),"")</f>
        <v/>
      </c>
      <c r="F801" s="93">
        <f t="shared" si="2"/>
        <v>0</v>
      </c>
      <c r="I801" s="173" t="str">
        <f>IFERROR(vlookup(A800,TSM!A:Q,2,FALSE),"")</f>
        <v/>
      </c>
      <c r="M801" s="93">
        <f t="shared" si="4"/>
        <v>0</v>
      </c>
    </row>
    <row r="802">
      <c r="B802" s="173" t="str">
        <f>IFERROR(vlookup(A802,TSM!A:Q,8,FALSE),"")</f>
        <v/>
      </c>
      <c r="F802" s="93">
        <f t="shared" si="2"/>
        <v>0</v>
      </c>
      <c r="I802" s="173" t="str">
        <f>IFERROR(vlookup(A801,TSM!A:Q,2,FALSE),"")</f>
        <v/>
      </c>
      <c r="M802" s="93">
        <f t="shared" si="4"/>
        <v>0</v>
      </c>
    </row>
    <row r="803">
      <c r="B803" s="173" t="str">
        <f>IFERROR(vlookup(A803,TSM!A:Q,8,FALSE),"")</f>
        <v/>
      </c>
      <c r="F803" s="93">
        <f t="shared" si="2"/>
        <v>0</v>
      </c>
      <c r="I803" s="173" t="str">
        <f>IFERROR(vlookup(A802,TSM!A:Q,2,FALSE),"")</f>
        <v/>
      </c>
      <c r="M803" s="93">
        <f t="shared" si="4"/>
        <v>0</v>
      </c>
    </row>
    <row r="804">
      <c r="B804" s="173" t="str">
        <f>IFERROR(vlookup(A804,TSM!A:Q,8,FALSE),"")</f>
        <v/>
      </c>
      <c r="F804" s="93">
        <f t="shared" si="2"/>
        <v>0</v>
      </c>
      <c r="I804" s="173" t="str">
        <f>IFERROR(vlookup(A803,TSM!A:Q,2,FALSE),"")</f>
        <v/>
      </c>
      <c r="M804" s="93">
        <f t="shared" si="4"/>
        <v>0</v>
      </c>
    </row>
    <row r="805">
      <c r="B805" s="173" t="str">
        <f>IFERROR(vlookup(A805,TSM!A:Q,8,FALSE),"")</f>
        <v/>
      </c>
      <c r="F805" s="93">
        <f t="shared" si="2"/>
        <v>0</v>
      </c>
      <c r="I805" s="173" t="str">
        <f>IFERROR(vlookup(A804,TSM!A:Q,2,FALSE),"")</f>
        <v/>
      </c>
      <c r="M805" s="93">
        <f t="shared" si="4"/>
        <v>0</v>
      </c>
    </row>
    <row r="806">
      <c r="B806" s="173" t="str">
        <f>IFERROR(vlookup(A806,TSM!A:Q,8,FALSE),"")</f>
        <v/>
      </c>
      <c r="F806" s="93">
        <f t="shared" si="2"/>
        <v>0</v>
      </c>
      <c r="I806" s="173" t="str">
        <f>IFERROR(vlookup(A805,TSM!A:Q,2,FALSE),"")</f>
        <v/>
      </c>
      <c r="M806" s="93">
        <f t="shared" si="4"/>
        <v>0</v>
      </c>
    </row>
    <row r="807">
      <c r="B807" s="173" t="str">
        <f>IFERROR(vlookup(A807,TSM!A:Q,8,FALSE),"")</f>
        <v/>
      </c>
      <c r="F807" s="93">
        <f t="shared" si="2"/>
        <v>0</v>
      </c>
      <c r="I807" s="173" t="str">
        <f>IFERROR(vlookup(A806,TSM!A:Q,2,FALSE),"")</f>
        <v/>
      </c>
      <c r="M807" s="93">
        <f t="shared" si="4"/>
        <v>0</v>
      </c>
    </row>
    <row r="808">
      <c r="B808" s="173" t="str">
        <f>IFERROR(vlookup(A808,TSM!A:Q,8,FALSE),"")</f>
        <v/>
      </c>
      <c r="F808" s="93">
        <f t="shared" si="2"/>
        <v>0</v>
      </c>
      <c r="I808" s="173" t="str">
        <f>IFERROR(vlookup(A807,TSM!A:Q,2,FALSE),"")</f>
        <v/>
      </c>
      <c r="M808" s="93">
        <f t="shared" si="4"/>
        <v>0</v>
      </c>
    </row>
    <row r="809">
      <c r="B809" s="173" t="str">
        <f>IFERROR(vlookup(A809,TSM!A:Q,8,FALSE),"")</f>
        <v/>
      </c>
      <c r="F809" s="93">
        <f t="shared" si="2"/>
        <v>0</v>
      </c>
      <c r="I809" s="173" t="str">
        <f>IFERROR(vlookup(A808,TSM!A:Q,2,FALSE),"")</f>
        <v/>
      </c>
      <c r="M809" s="93">
        <f t="shared" si="4"/>
        <v>0</v>
      </c>
    </row>
    <row r="810">
      <c r="B810" s="173" t="str">
        <f>IFERROR(vlookup(A810,TSM!A:Q,8,FALSE),"")</f>
        <v/>
      </c>
      <c r="F810" s="93">
        <f t="shared" si="2"/>
        <v>0</v>
      </c>
      <c r="I810" s="173" t="str">
        <f>IFERROR(vlookup(A809,TSM!A:Q,2,FALSE),"")</f>
        <v/>
      </c>
      <c r="M810" s="93">
        <f t="shared" si="4"/>
        <v>0</v>
      </c>
    </row>
    <row r="811">
      <c r="B811" s="173" t="str">
        <f>IFERROR(vlookup(A811,TSM!A:Q,8,FALSE),"")</f>
        <v/>
      </c>
      <c r="F811" s="93">
        <f t="shared" si="2"/>
        <v>0</v>
      </c>
      <c r="I811" s="173" t="str">
        <f>IFERROR(vlookup(A810,TSM!A:Q,2,FALSE),"")</f>
        <v/>
      </c>
      <c r="M811" s="93">
        <f t="shared" si="4"/>
        <v>0</v>
      </c>
    </row>
    <row r="812">
      <c r="B812" s="173" t="str">
        <f>IFERROR(vlookup(A812,TSM!A:Q,8,FALSE),"")</f>
        <v/>
      </c>
      <c r="F812" s="93">
        <f t="shared" si="2"/>
        <v>0</v>
      </c>
      <c r="I812" s="173" t="str">
        <f>IFERROR(vlookup(A811,TSM!A:Q,2,FALSE),"")</f>
        <v/>
      </c>
      <c r="M812" s="93">
        <f t="shared" si="4"/>
        <v>0</v>
      </c>
    </row>
    <row r="813">
      <c r="B813" s="173" t="str">
        <f>IFERROR(vlookup(A813,TSM!A:Q,8,FALSE),"")</f>
        <v/>
      </c>
      <c r="F813" s="93">
        <f t="shared" si="2"/>
        <v>0</v>
      </c>
      <c r="I813" s="173" t="str">
        <f>IFERROR(vlookup(A812,TSM!A:Q,2,FALSE),"")</f>
        <v/>
      </c>
      <c r="M813" s="93">
        <f t="shared" si="4"/>
        <v>0</v>
      </c>
    </row>
    <row r="814">
      <c r="B814" s="173" t="str">
        <f>IFERROR(vlookup(A814,TSM!A:Q,8,FALSE),"")</f>
        <v/>
      </c>
      <c r="F814" s="93">
        <f t="shared" si="2"/>
        <v>0</v>
      </c>
      <c r="I814" s="173" t="str">
        <f>IFERROR(vlookup(A813,TSM!A:Q,2,FALSE),"")</f>
        <v/>
      </c>
      <c r="M814" s="93">
        <f t="shared" si="4"/>
        <v>0</v>
      </c>
    </row>
    <row r="815">
      <c r="B815" s="173" t="str">
        <f>IFERROR(vlookup(A815,TSM!A:Q,8,FALSE),"")</f>
        <v/>
      </c>
      <c r="F815" s="93">
        <f t="shared" si="2"/>
        <v>0</v>
      </c>
      <c r="I815" s="173" t="str">
        <f>IFERROR(vlookup(A814,TSM!A:Q,2,FALSE),"")</f>
        <v/>
      </c>
      <c r="M815" s="93">
        <f t="shared" si="4"/>
        <v>0</v>
      </c>
    </row>
    <row r="816">
      <c r="B816" s="173" t="str">
        <f>IFERROR(vlookup(A816,TSM!A:Q,8,FALSE),"")</f>
        <v/>
      </c>
      <c r="F816" s="93">
        <f t="shared" si="2"/>
        <v>0</v>
      </c>
      <c r="I816" s="173" t="str">
        <f>IFERROR(vlookup(A815,TSM!A:Q,2,FALSE),"")</f>
        <v/>
      </c>
      <c r="M816" s="93">
        <f t="shared" si="4"/>
        <v>0</v>
      </c>
    </row>
    <row r="817">
      <c r="B817" s="173" t="str">
        <f>IFERROR(vlookup(A817,TSM!A:Q,8,FALSE),"")</f>
        <v/>
      </c>
      <c r="F817" s="93">
        <f t="shared" si="2"/>
        <v>0</v>
      </c>
      <c r="I817" s="173" t="str">
        <f>IFERROR(vlookup(A816,TSM!A:Q,2,FALSE),"")</f>
        <v/>
      </c>
      <c r="M817" s="93">
        <f t="shared" si="4"/>
        <v>0</v>
      </c>
    </row>
    <row r="818">
      <c r="B818" s="173" t="str">
        <f>IFERROR(vlookup(A818,TSM!A:Q,8,FALSE),"")</f>
        <v/>
      </c>
      <c r="F818" s="93">
        <f t="shared" si="2"/>
        <v>0</v>
      </c>
      <c r="I818" s="173" t="str">
        <f>IFERROR(vlookup(A817,TSM!A:Q,2,FALSE),"")</f>
        <v/>
      </c>
      <c r="M818" s="93">
        <f t="shared" si="4"/>
        <v>0</v>
      </c>
    </row>
    <row r="819">
      <c r="B819" s="173" t="str">
        <f>IFERROR(vlookup(A819,TSM!A:Q,8,FALSE),"")</f>
        <v/>
      </c>
      <c r="F819" s="93">
        <f t="shared" si="2"/>
        <v>0</v>
      </c>
      <c r="I819" s="173" t="str">
        <f>IFERROR(vlookup(A818,TSM!A:Q,2,FALSE),"")</f>
        <v/>
      </c>
      <c r="M819" s="93">
        <f t="shared" si="4"/>
        <v>0</v>
      </c>
    </row>
    <row r="820">
      <c r="B820" s="173" t="str">
        <f>IFERROR(vlookup(A820,TSM!A:Q,8,FALSE),"")</f>
        <v/>
      </c>
      <c r="F820" s="93">
        <f t="shared" si="2"/>
        <v>0</v>
      </c>
      <c r="I820" s="173" t="str">
        <f>IFERROR(vlookup(A819,TSM!A:Q,2,FALSE),"")</f>
        <v/>
      </c>
      <c r="M820" s="93">
        <f t="shared" si="4"/>
        <v>0</v>
      </c>
    </row>
    <row r="821">
      <c r="B821" s="173" t="str">
        <f>IFERROR(vlookup(A821,TSM!A:Q,8,FALSE),"")</f>
        <v/>
      </c>
      <c r="F821" s="93">
        <f t="shared" si="2"/>
        <v>0</v>
      </c>
      <c r="I821" s="173" t="str">
        <f>IFERROR(vlookup(A820,TSM!A:Q,2,FALSE),"")</f>
        <v/>
      </c>
      <c r="M821" s="93">
        <f t="shared" si="4"/>
        <v>0</v>
      </c>
    </row>
    <row r="822">
      <c r="B822" s="173" t="str">
        <f>IFERROR(vlookup(A822,TSM!A:Q,8,FALSE),"")</f>
        <v/>
      </c>
      <c r="F822" s="93">
        <f t="shared" si="2"/>
        <v>0</v>
      </c>
      <c r="I822" s="173" t="str">
        <f>IFERROR(vlookup(A821,TSM!A:Q,2,FALSE),"")</f>
        <v/>
      </c>
      <c r="M822" s="93">
        <f t="shared" si="4"/>
        <v>0</v>
      </c>
    </row>
    <row r="823">
      <c r="B823" s="173" t="str">
        <f>IFERROR(vlookup(A823,TSM!A:Q,8,FALSE),"")</f>
        <v/>
      </c>
      <c r="F823" s="93">
        <f t="shared" si="2"/>
        <v>0</v>
      </c>
      <c r="I823" s="173" t="str">
        <f>IFERROR(vlookup(A822,TSM!A:Q,2,FALSE),"")</f>
        <v/>
      </c>
      <c r="M823" s="93">
        <f t="shared" si="4"/>
        <v>0</v>
      </c>
    </row>
    <row r="824">
      <c r="B824" s="173" t="str">
        <f>IFERROR(vlookup(A824,TSM!A:Q,8,FALSE),"")</f>
        <v/>
      </c>
      <c r="F824" s="93">
        <f t="shared" si="2"/>
        <v>0</v>
      </c>
      <c r="I824" s="173" t="str">
        <f>IFERROR(vlookup(A823,TSM!A:Q,2,FALSE),"")</f>
        <v/>
      </c>
      <c r="M824" s="93">
        <f t="shared" si="4"/>
        <v>0</v>
      </c>
    </row>
    <row r="825">
      <c r="B825" s="173" t="str">
        <f>IFERROR(vlookup(A825,TSM!A:Q,8,FALSE),"")</f>
        <v/>
      </c>
      <c r="F825" s="93">
        <f t="shared" si="2"/>
        <v>0</v>
      </c>
      <c r="I825" s="173" t="str">
        <f>IFERROR(vlookup(A824,TSM!A:Q,2,FALSE),"")</f>
        <v/>
      </c>
      <c r="M825" s="93">
        <f t="shared" si="4"/>
        <v>0</v>
      </c>
    </row>
    <row r="826">
      <c r="B826" s="173" t="str">
        <f>IFERROR(vlookup(A826,TSM!A:Q,8,FALSE),"")</f>
        <v/>
      </c>
      <c r="F826" s="93">
        <f t="shared" si="2"/>
        <v>0</v>
      </c>
      <c r="I826" s="173" t="str">
        <f>IFERROR(vlookup(A825,TSM!A:Q,2,FALSE),"")</f>
        <v/>
      </c>
      <c r="M826" s="93">
        <f t="shared" si="4"/>
        <v>0</v>
      </c>
    </row>
    <row r="827">
      <c r="B827" s="173" t="str">
        <f>IFERROR(vlookup(A827,TSM!A:Q,8,FALSE),"")</f>
        <v/>
      </c>
      <c r="F827" s="93">
        <f t="shared" si="2"/>
        <v>0</v>
      </c>
      <c r="I827" s="173" t="str">
        <f>IFERROR(vlookup(A826,TSM!A:Q,2,FALSE),"")</f>
        <v/>
      </c>
      <c r="M827" s="93">
        <f t="shared" si="4"/>
        <v>0</v>
      </c>
    </row>
    <row r="828">
      <c r="B828" s="173" t="str">
        <f>IFERROR(vlookup(A828,TSM!A:Q,8,FALSE),"")</f>
        <v/>
      </c>
      <c r="F828" s="93">
        <f t="shared" si="2"/>
        <v>0</v>
      </c>
      <c r="I828" s="173" t="str">
        <f>IFERROR(vlookup(A827,TSM!A:Q,2,FALSE),"")</f>
        <v/>
      </c>
      <c r="M828" s="93">
        <f t="shared" si="4"/>
        <v>0</v>
      </c>
    </row>
    <row r="829">
      <c r="B829" s="173" t="str">
        <f>IFERROR(vlookup(A829,TSM!A:Q,8,FALSE),"")</f>
        <v/>
      </c>
      <c r="F829" s="93">
        <f t="shared" si="2"/>
        <v>0</v>
      </c>
      <c r="I829" s="173" t="str">
        <f>IFERROR(vlookup(A828,TSM!A:Q,2,FALSE),"")</f>
        <v/>
      </c>
      <c r="M829" s="93">
        <f t="shared" si="4"/>
        <v>0</v>
      </c>
    </row>
    <row r="830">
      <c r="B830" s="173" t="str">
        <f>IFERROR(vlookup(A830,TSM!A:Q,8,FALSE),"")</f>
        <v/>
      </c>
      <c r="F830" s="93">
        <f t="shared" si="2"/>
        <v>0</v>
      </c>
      <c r="I830" s="173" t="str">
        <f>IFERROR(vlookup(A829,TSM!A:Q,2,FALSE),"")</f>
        <v/>
      </c>
      <c r="M830" s="93">
        <f t="shared" si="4"/>
        <v>0</v>
      </c>
    </row>
    <row r="831">
      <c r="B831" s="173" t="str">
        <f>IFERROR(vlookup(A831,TSM!A:Q,8,FALSE),"")</f>
        <v/>
      </c>
      <c r="F831" s="93">
        <f t="shared" si="2"/>
        <v>0</v>
      </c>
      <c r="I831" s="173" t="str">
        <f>IFERROR(vlookup(A830,TSM!A:Q,2,FALSE),"")</f>
        <v/>
      </c>
      <c r="M831" s="93">
        <f t="shared" si="4"/>
        <v>0</v>
      </c>
    </row>
    <row r="832">
      <c r="B832" s="173" t="str">
        <f>IFERROR(vlookup(A832,TSM!A:Q,8,FALSE),"")</f>
        <v/>
      </c>
      <c r="F832" s="93">
        <f t="shared" si="2"/>
        <v>0</v>
      </c>
      <c r="I832" s="173" t="str">
        <f>IFERROR(vlookup(A831,TSM!A:Q,2,FALSE),"")</f>
        <v/>
      </c>
      <c r="M832" s="93">
        <f t="shared" si="4"/>
        <v>0</v>
      </c>
    </row>
    <row r="833">
      <c r="B833" s="173" t="str">
        <f>IFERROR(vlookup(A833,TSM!A:Q,8,FALSE),"")</f>
        <v/>
      </c>
      <c r="F833" s="93">
        <f t="shared" si="2"/>
        <v>0</v>
      </c>
      <c r="I833" s="173" t="str">
        <f>IFERROR(vlookup(A832,TSM!A:Q,2,FALSE),"")</f>
        <v/>
      </c>
      <c r="M833" s="93">
        <f t="shared" si="4"/>
        <v>0</v>
      </c>
    </row>
    <row r="834">
      <c r="B834" s="173" t="str">
        <f>IFERROR(vlookup(A834,TSM!A:Q,8,FALSE),"")</f>
        <v/>
      </c>
      <c r="F834" s="93">
        <f t="shared" si="2"/>
        <v>0</v>
      </c>
      <c r="I834" s="173" t="str">
        <f>IFERROR(vlookup(A833,TSM!A:Q,2,FALSE),"")</f>
        <v/>
      </c>
      <c r="M834" s="93">
        <f t="shared" si="4"/>
        <v>0</v>
      </c>
    </row>
    <row r="835">
      <c r="B835" s="173" t="str">
        <f>IFERROR(vlookup(A835,TSM!A:Q,8,FALSE),"")</f>
        <v/>
      </c>
      <c r="F835" s="93">
        <f t="shared" si="2"/>
        <v>0</v>
      </c>
      <c r="I835" s="173" t="str">
        <f>IFERROR(vlookup(A834,TSM!A:Q,2,FALSE),"")</f>
        <v/>
      </c>
      <c r="M835" s="93">
        <f t="shared" si="4"/>
        <v>0</v>
      </c>
    </row>
    <row r="836">
      <c r="B836" s="173" t="str">
        <f>IFERROR(vlookup(A836,TSM!A:Q,8,FALSE),"")</f>
        <v/>
      </c>
      <c r="F836" s="93">
        <f t="shared" si="2"/>
        <v>0</v>
      </c>
      <c r="I836" s="173" t="str">
        <f>IFERROR(vlookup(A835,TSM!A:Q,2,FALSE),"")</f>
        <v/>
      </c>
      <c r="M836" s="93">
        <f t="shared" si="4"/>
        <v>0</v>
      </c>
    </row>
    <row r="837">
      <c r="B837" s="173" t="str">
        <f>IFERROR(vlookup(A837,TSM!A:Q,8,FALSE),"")</f>
        <v/>
      </c>
      <c r="F837" s="93">
        <f t="shared" si="2"/>
        <v>0</v>
      </c>
      <c r="I837" s="173" t="str">
        <f>IFERROR(vlookup(A836,TSM!A:Q,2,FALSE),"")</f>
        <v/>
      </c>
      <c r="M837" s="93">
        <f t="shared" si="4"/>
        <v>0</v>
      </c>
    </row>
    <row r="838">
      <c r="B838" s="173" t="str">
        <f>IFERROR(vlookup(A838,TSM!A:Q,8,FALSE),"")</f>
        <v/>
      </c>
      <c r="F838" s="93">
        <f t="shared" si="2"/>
        <v>0</v>
      </c>
      <c r="I838" s="173" t="str">
        <f>IFERROR(vlookup(A837,TSM!A:Q,2,FALSE),"")</f>
        <v/>
      </c>
      <c r="M838" s="93">
        <f t="shared" si="4"/>
        <v>0</v>
      </c>
    </row>
    <row r="839">
      <c r="B839" s="173" t="str">
        <f>IFERROR(vlookup(A839,TSM!A:Q,8,FALSE),"")</f>
        <v/>
      </c>
      <c r="F839" s="93">
        <f t="shared" si="2"/>
        <v>0</v>
      </c>
      <c r="I839" s="173" t="str">
        <f>IFERROR(vlookup(A838,TSM!A:Q,2,FALSE),"")</f>
        <v/>
      </c>
      <c r="M839" s="93">
        <f t="shared" si="4"/>
        <v>0</v>
      </c>
    </row>
    <row r="840">
      <c r="B840" s="173" t="str">
        <f>IFERROR(vlookup(A840,TSM!A:Q,8,FALSE),"")</f>
        <v/>
      </c>
      <c r="F840" s="93">
        <f t="shared" si="2"/>
        <v>0</v>
      </c>
      <c r="I840" s="173" t="str">
        <f>IFERROR(vlookup(A839,TSM!A:Q,2,FALSE),"")</f>
        <v/>
      </c>
      <c r="M840" s="93">
        <f t="shared" si="4"/>
        <v>0</v>
      </c>
    </row>
    <row r="841">
      <c r="B841" s="173" t="str">
        <f>IFERROR(vlookup(A841,TSM!A:Q,8,FALSE),"")</f>
        <v/>
      </c>
      <c r="F841" s="93">
        <f t="shared" si="2"/>
        <v>0</v>
      </c>
      <c r="I841" s="173" t="str">
        <f>IFERROR(vlookup(A840,TSM!A:Q,2,FALSE),"")</f>
        <v/>
      </c>
      <c r="M841" s="93">
        <f t="shared" si="4"/>
        <v>0</v>
      </c>
    </row>
    <row r="842">
      <c r="B842" s="173" t="str">
        <f>IFERROR(vlookup(A842,TSM!A:Q,8,FALSE),"")</f>
        <v/>
      </c>
      <c r="F842" s="93">
        <f t="shared" si="2"/>
        <v>0</v>
      </c>
      <c r="I842" s="173" t="str">
        <f>IFERROR(vlookup(A841,TSM!A:Q,2,FALSE),"")</f>
        <v/>
      </c>
      <c r="M842" s="93">
        <f t="shared" si="4"/>
        <v>0</v>
      </c>
    </row>
    <row r="843">
      <c r="B843" s="173" t="str">
        <f>IFERROR(vlookup(A843,TSM!A:Q,8,FALSE),"")</f>
        <v/>
      </c>
      <c r="F843" s="93">
        <f t="shared" si="2"/>
        <v>0</v>
      </c>
      <c r="I843" s="173" t="str">
        <f>IFERROR(vlookup(A842,TSM!A:Q,2,FALSE),"")</f>
        <v/>
      </c>
      <c r="M843" s="93">
        <f t="shared" si="4"/>
        <v>0</v>
      </c>
    </row>
    <row r="844">
      <c r="B844" s="173" t="str">
        <f>IFERROR(vlookup(A844,TSM!A:Q,8,FALSE),"")</f>
        <v/>
      </c>
      <c r="F844" s="93">
        <f t="shared" si="2"/>
        <v>0</v>
      </c>
      <c r="I844" s="173" t="str">
        <f>IFERROR(vlookup(A843,TSM!A:Q,2,FALSE),"")</f>
        <v/>
      </c>
      <c r="M844" s="93">
        <f t="shared" si="4"/>
        <v>0</v>
      </c>
    </row>
    <row r="845">
      <c r="B845" s="173" t="str">
        <f>IFERROR(vlookup(A845,TSM!A:Q,8,FALSE),"")</f>
        <v/>
      </c>
      <c r="F845" s="93">
        <f t="shared" si="2"/>
        <v>0</v>
      </c>
      <c r="I845" s="173" t="str">
        <f>IFERROR(vlookup(A844,TSM!A:Q,2,FALSE),"")</f>
        <v/>
      </c>
      <c r="M845" s="93">
        <f t="shared" si="4"/>
        <v>0</v>
      </c>
    </row>
    <row r="846">
      <c r="B846" s="173" t="str">
        <f>IFERROR(vlookup(A846,TSM!A:Q,8,FALSE),"")</f>
        <v/>
      </c>
      <c r="F846" s="93">
        <f t="shared" si="2"/>
        <v>0</v>
      </c>
      <c r="I846" s="173" t="str">
        <f>IFERROR(vlookup(A845,TSM!A:Q,2,FALSE),"")</f>
        <v/>
      </c>
      <c r="M846" s="93">
        <f t="shared" si="4"/>
        <v>0</v>
      </c>
    </row>
    <row r="847">
      <c r="B847" s="173" t="str">
        <f>IFERROR(vlookup(A847,TSM!A:Q,8,FALSE),"")</f>
        <v/>
      </c>
      <c r="F847" s="93">
        <f t="shared" si="2"/>
        <v>0</v>
      </c>
      <c r="I847" s="173" t="str">
        <f>IFERROR(vlookup(A846,TSM!A:Q,2,FALSE),"")</f>
        <v/>
      </c>
      <c r="M847" s="93">
        <f t="shared" si="4"/>
        <v>0</v>
      </c>
    </row>
    <row r="848">
      <c r="B848" s="173" t="str">
        <f>IFERROR(vlookup(A848,TSM!A:Q,8,FALSE),"")</f>
        <v/>
      </c>
      <c r="F848" s="93">
        <f t="shared" si="2"/>
        <v>0</v>
      </c>
      <c r="I848" s="173" t="str">
        <f>IFERROR(vlookup(A847,TSM!A:Q,2,FALSE),"")</f>
        <v/>
      </c>
      <c r="M848" s="93">
        <f t="shared" si="4"/>
        <v>0</v>
      </c>
    </row>
    <row r="849">
      <c r="B849" s="173" t="str">
        <f>IFERROR(vlookup(A849,TSM!A:Q,8,FALSE),"")</f>
        <v/>
      </c>
      <c r="F849" s="93">
        <f t="shared" si="2"/>
        <v>0</v>
      </c>
      <c r="I849" s="173" t="str">
        <f>IFERROR(vlookup(A848,TSM!A:Q,2,FALSE),"")</f>
        <v/>
      </c>
      <c r="M849" s="93">
        <f t="shared" si="4"/>
        <v>0</v>
      </c>
    </row>
    <row r="850">
      <c r="B850" s="173" t="str">
        <f>IFERROR(vlookup(A850,TSM!A:Q,8,FALSE),"")</f>
        <v/>
      </c>
      <c r="F850" s="93">
        <f t="shared" si="2"/>
        <v>0</v>
      </c>
      <c r="I850" s="173" t="str">
        <f>IFERROR(vlookup(A849,TSM!A:Q,2,FALSE),"")</f>
        <v/>
      </c>
      <c r="M850" s="93">
        <f t="shared" si="4"/>
        <v>0</v>
      </c>
    </row>
    <row r="851">
      <c r="B851" s="173" t="str">
        <f>IFERROR(vlookup(A851,TSM!A:Q,8,FALSE),"")</f>
        <v/>
      </c>
      <c r="F851" s="93">
        <f t="shared" si="2"/>
        <v>0</v>
      </c>
      <c r="I851" s="173" t="str">
        <f>IFERROR(vlookup(A850,TSM!A:Q,2,FALSE),"")</f>
        <v/>
      </c>
      <c r="M851" s="93">
        <f t="shared" si="4"/>
        <v>0</v>
      </c>
    </row>
    <row r="852">
      <c r="B852" s="173" t="str">
        <f>IFERROR(vlookup(A852,TSM!A:Q,8,FALSE),"")</f>
        <v/>
      </c>
      <c r="F852" s="93">
        <f t="shared" si="2"/>
        <v>0</v>
      </c>
      <c r="I852" s="173" t="str">
        <f>IFERROR(vlookup(A851,TSM!A:Q,2,FALSE),"")</f>
        <v/>
      </c>
      <c r="M852" s="93">
        <f t="shared" si="4"/>
        <v>0</v>
      </c>
    </row>
    <row r="853">
      <c r="B853" s="173" t="str">
        <f>IFERROR(vlookup(A853,TSM!A:Q,8,FALSE),"")</f>
        <v/>
      </c>
      <c r="F853" s="93">
        <f t="shared" si="2"/>
        <v>0</v>
      </c>
      <c r="I853" s="173" t="str">
        <f>IFERROR(vlookup(A852,TSM!A:Q,2,FALSE),"")</f>
        <v/>
      </c>
      <c r="M853" s="93">
        <f t="shared" si="4"/>
        <v>0</v>
      </c>
    </row>
    <row r="854">
      <c r="B854" s="173" t="str">
        <f>IFERROR(vlookup(A854,TSM!A:Q,8,FALSE),"")</f>
        <v/>
      </c>
      <c r="F854" s="93">
        <f t="shared" si="2"/>
        <v>0</v>
      </c>
      <c r="I854" s="173" t="str">
        <f>IFERROR(vlookup(A853,TSM!A:Q,2,FALSE),"")</f>
        <v/>
      </c>
      <c r="M854" s="93">
        <f t="shared" si="4"/>
        <v>0</v>
      </c>
    </row>
    <row r="855">
      <c r="B855" s="173" t="str">
        <f>IFERROR(vlookup(A855,TSM!A:Q,8,FALSE),"")</f>
        <v/>
      </c>
      <c r="F855" s="93">
        <f t="shared" si="2"/>
        <v>0</v>
      </c>
      <c r="I855" s="173" t="str">
        <f>IFERROR(vlookup(A854,TSM!A:Q,2,FALSE),"")</f>
        <v/>
      </c>
      <c r="M855" s="93">
        <f t="shared" si="4"/>
        <v>0</v>
      </c>
    </row>
    <row r="856">
      <c r="B856" s="173" t="str">
        <f>IFERROR(vlookup(A856,TSM!A:Q,8,FALSE),"")</f>
        <v/>
      </c>
      <c r="F856" s="93">
        <f t="shared" si="2"/>
        <v>0</v>
      </c>
      <c r="I856" s="173" t="str">
        <f>IFERROR(vlookup(A855,TSM!A:Q,2,FALSE),"")</f>
        <v/>
      </c>
      <c r="M856" s="93">
        <f t="shared" si="4"/>
        <v>0</v>
      </c>
    </row>
    <row r="857">
      <c r="B857" s="173" t="str">
        <f>IFERROR(vlookup(A857,TSM!A:Q,8,FALSE),"")</f>
        <v/>
      </c>
      <c r="F857" s="93">
        <f t="shared" si="2"/>
        <v>0</v>
      </c>
      <c r="I857" s="173" t="str">
        <f>IFERROR(vlookup(A856,TSM!A:Q,2,FALSE),"")</f>
        <v/>
      </c>
      <c r="M857" s="93">
        <f t="shared" si="4"/>
        <v>0</v>
      </c>
    </row>
    <row r="858">
      <c r="B858" s="173" t="str">
        <f>IFERROR(vlookup(A858,TSM!A:Q,8,FALSE),"")</f>
        <v/>
      </c>
      <c r="F858" s="93">
        <f t="shared" si="2"/>
        <v>0</v>
      </c>
      <c r="I858" s="173" t="str">
        <f>IFERROR(vlookup(A857,TSM!A:Q,2,FALSE),"")</f>
        <v/>
      </c>
      <c r="M858" s="93">
        <f t="shared" si="4"/>
        <v>0</v>
      </c>
    </row>
    <row r="859">
      <c r="B859" s="173" t="str">
        <f>IFERROR(vlookup(A859,TSM!A:Q,8,FALSE),"")</f>
        <v/>
      </c>
      <c r="F859" s="93">
        <f t="shared" si="2"/>
        <v>0</v>
      </c>
      <c r="I859" s="173" t="str">
        <f>IFERROR(vlookup(A858,TSM!A:Q,2,FALSE),"")</f>
        <v/>
      </c>
      <c r="M859" s="93">
        <f t="shared" si="4"/>
        <v>0</v>
      </c>
    </row>
    <row r="860">
      <c r="B860" s="173" t="str">
        <f>IFERROR(vlookup(A860,TSM!A:Q,8,FALSE),"")</f>
        <v/>
      </c>
      <c r="F860" s="93">
        <f t="shared" si="2"/>
        <v>0</v>
      </c>
      <c r="I860" s="173" t="str">
        <f>IFERROR(vlookup(A859,TSM!A:Q,2,FALSE),"")</f>
        <v/>
      </c>
      <c r="M860" s="93">
        <f t="shared" si="4"/>
        <v>0</v>
      </c>
    </row>
    <row r="861">
      <c r="B861" s="173" t="str">
        <f>IFERROR(vlookup(A861,TSM!A:Q,8,FALSE),"")</f>
        <v/>
      </c>
      <c r="F861" s="93">
        <f t="shared" si="2"/>
        <v>0</v>
      </c>
      <c r="I861" s="173" t="str">
        <f>IFERROR(vlookup(A860,TSM!A:Q,2,FALSE),"")</f>
        <v/>
      </c>
      <c r="M861" s="93">
        <f t="shared" si="4"/>
        <v>0</v>
      </c>
    </row>
    <row r="862">
      <c r="B862" s="173" t="str">
        <f>IFERROR(vlookup(A862,TSM!A:Q,8,FALSE),"")</f>
        <v/>
      </c>
      <c r="F862" s="93">
        <f t="shared" si="2"/>
        <v>0</v>
      </c>
      <c r="I862" s="173" t="str">
        <f>IFERROR(vlookup(A861,TSM!A:Q,2,FALSE),"")</f>
        <v/>
      </c>
      <c r="M862" s="93">
        <f t="shared" si="4"/>
        <v>0</v>
      </c>
    </row>
    <row r="863">
      <c r="B863" s="173" t="str">
        <f>IFERROR(vlookup(A863,TSM!A:Q,8,FALSE),"")</f>
        <v/>
      </c>
      <c r="F863" s="93">
        <f t="shared" si="2"/>
        <v>0</v>
      </c>
      <c r="I863" s="173" t="str">
        <f>IFERROR(vlookup(A862,TSM!A:Q,2,FALSE),"")</f>
        <v/>
      </c>
      <c r="M863" s="93">
        <f t="shared" si="4"/>
        <v>0</v>
      </c>
    </row>
    <row r="864">
      <c r="B864" s="173" t="str">
        <f>IFERROR(vlookup(A864,TSM!A:Q,8,FALSE),"")</f>
        <v/>
      </c>
      <c r="F864" s="93">
        <f t="shared" si="2"/>
        <v>0</v>
      </c>
      <c r="I864" s="173" t="str">
        <f>IFERROR(vlookup(A863,TSM!A:Q,2,FALSE),"")</f>
        <v/>
      </c>
      <c r="M864" s="93">
        <f t="shared" si="4"/>
        <v>0</v>
      </c>
    </row>
    <row r="865">
      <c r="B865" s="173" t="str">
        <f>IFERROR(vlookup(A865,TSM!A:Q,8,FALSE),"")</f>
        <v/>
      </c>
      <c r="F865" s="93">
        <f t="shared" si="2"/>
        <v>0</v>
      </c>
      <c r="I865" s="173" t="str">
        <f>IFERROR(vlookup(A864,TSM!A:Q,2,FALSE),"")</f>
        <v/>
      </c>
      <c r="M865" s="93">
        <f t="shared" si="4"/>
        <v>0</v>
      </c>
    </row>
    <row r="866">
      <c r="B866" s="173" t="str">
        <f>IFERROR(vlookup(A866,TSM!A:Q,8,FALSE),"")</f>
        <v/>
      </c>
      <c r="F866" s="93">
        <f t="shared" si="2"/>
        <v>0</v>
      </c>
      <c r="I866" s="173" t="str">
        <f>IFERROR(vlookup(A865,TSM!A:Q,2,FALSE),"")</f>
        <v/>
      </c>
      <c r="M866" s="93">
        <f t="shared" si="4"/>
        <v>0</v>
      </c>
    </row>
    <row r="867">
      <c r="B867" s="173" t="str">
        <f>IFERROR(vlookup(A867,TSM!A:Q,8,FALSE),"")</f>
        <v/>
      </c>
      <c r="F867" s="93">
        <f t="shared" si="2"/>
        <v>0</v>
      </c>
      <c r="I867" s="173" t="str">
        <f>IFERROR(vlookup(A866,TSM!A:Q,2,FALSE),"")</f>
        <v/>
      </c>
      <c r="M867" s="93">
        <f t="shared" si="4"/>
        <v>0</v>
      </c>
    </row>
    <row r="868">
      <c r="B868" s="173" t="str">
        <f>IFERROR(vlookup(A868,TSM!A:Q,8,FALSE),"")</f>
        <v/>
      </c>
      <c r="F868" s="93">
        <f t="shared" si="2"/>
        <v>0</v>
      </c>
      <c r="I868" s="173" t="str">
        <f>IFERROR(vlookup(A867,TSM!A:Q,2,FALSE),"")</f>
        <v/>
      </c>
      <c r="M868" s="93">
        <f t="shared" si="4"/>
        <v>0</v>
      </c>
    </row>
    <row r="869">
      <c r="B869" s="173" t="str">
        <f>IFERROR(vlookup(A869,TSM!A:Q,8,FALSE),"")</f>
        <v/>
      </c>
      <c r="F869" s="93">
        <f t="shared" si="2"/>
        <v>0</v>
      </c>
      <c r="I869" s="173" t="str">
        <f>IFERROR(vlookup(A868,TSM!A:Q,2,FALSE),"")</f>
        <v/>
      </c>
      <c r="M869" s="93">
        <f t="shared" si="4"/>
        <v>0</v>
      </c>
    </row>
    <row r="870">
      <c r="B870" s="173" t="str">
        <f>IFERROR(vlookup(A870,TSM!A:Q,8,FALSE),"")</f>
        <v/>
      </c>
      <c r="F870" s="93">
        <f t="shared" si="2"/>
        <v>0</v>
      </c>
      <c r="I870" s="173" t="str">
        <f>IFERROR(vlookup(A869,TSM!A:Q,2,FALSE),"")</f>
        <v/>
      </c>
      <c r="M870" s="93">
        <f t="shared" si="4"/>
        <v>0</v>
      </c>
    </row>
    <row r="871">
      <c r="B871" s="173" t="str">
        <f>IFERROR(vlookup(A871,TSM!A:Q,8,FALSE),"")</f>
        <v/>
      </c>
      <c r="F871" s="93">
        <f t="shared" si="2"/>
        <v>0</v>
      </c>
      <c r="I871" s="173" t="str">
        <f>IFERROR(vlookup(A870,TSM!A:Q,2,FALSE),"")</f>
        <v/>
      </c>
      <c r="M871" s="93">
        <f t="shared" si="4"/>
        <v>0</v>
      </c>
    </row>
    <row r="872">
      <c r="B872" s="173" t="str">
        <f>IFERROR(vlookup(A872,TSM!A:Q,8,FALSE),"")</f>
        <v/>
      </c>
      <c r="F872" s="93">
        <f t="shared" si="2"/>
        <v>0</v>
      </c>
      <c r="I872" s="173" t="str">
        <f>IFERROR(vlookup(A871,TSM!A:Q,2,FALSE),"")</f>
        <v/>
      </c>
      <c r="M872" s="93">
        <f t="shared" si="4"/>
        <v>0</v>
      </c>
    </row>
    <row r="873">
      <c r="B873" s="173" t="str">
        <f>IFERROR(vlookup(A873,TSM!A:Q,8,FALSE),"")</f>
        <v/>
      </c>
      <c r="F873" s="93">
        <f t="shared" si="2"/>
        <v>0</v>
      </c>
      <c r="I873" s="173" t="str">
        <f>IFERROR(vlookup(A872,TSM!A:Q,2,FALSE),"")</f>
        <v/>
      </c>
      <c r="M873" s="93">
        <f t="shared" si="4"/>
        <v>0</v>
      </c>
    </row>
    <row r="874">
      <c r="B874" s="173" t="str">
        <f>IFERROR(vlookup(A874,TSM!A:Q,8,FALSE),"")</f>
        <v/>
      </c>
      <c r="F874" s="93">
        <f t="shared" si="2"/>
        <v>0</v>
      </c>
      <c r="I874" s="173" t="str">
        <f>IFERROR(vlookup(A873,TSM!A:Q,2,FALSE),"")</f>
        <v/>
      </c>
      <c r="M874" s="93">
        <f t="shared" si="4"/>
        <v>0</v>
      </c>
    </row>
    <row r="875">
      <c r="B875" s="173" t="str">
        <f>IFERROR(vlookup(A875,TSM!A:Q,8,FALSE),"")</f>
        <v/>
      </c>
      <c r="F875" s="93">
        <f t="shared" si="2"/>
        <v>0</v>
      </c>
      <c r="I875" s="173" t="str">
        <f>IFERROR(vlookup(A874,TSM!A:Q,2,FALSE),"")</f>
        <v/>
      </c>
      <c r="M875" s="93">
        <f t="shared" si="4"/>
        <v>0</v>
      </c>
    </row>
    <row r="876">
      <c r="B876" s="173" t="str">
        <f>IFERROR(vlookup(A876,TSM!A:Q,8,FALSE),"")</f>
        <v/>
      </c>
      <c r="F876" s="93">
        <f t="shared" si="2"/>
        <v>0</v>
      </c>
      <c r="I876" s="173" t="str">
        <f>IFERROR(vlookup(A875,TSM!A:Q,2,FALSE),"")</f>
        <v/>
      </c>
      <c r="M876" s="93">
        <f t="shared" si="4"/>
        <v>0</v>
      </c>
    </row>
    <row r="877">
      <c r="B877" s="173" t="str">
        <f>IFERROR(vlookup(A877,TSM!A:Q,8,FALSE),"")</f>
        <v/>
      </c>
      <c r="F877" s="93">
        <f t="shared" si="2"/>
        <v>0</v>
      </c>
      <c r="I877" s="173" t="str">
        <f>IFERROR(vlookup(A876,TSM!A:Q,2,FALSE),"")</f>
        <v/>
      </c>
      <c r="M877" s="93">
        <f t="shared" si="4"/>
        <v>0</v>
      </c>
    </row>
    <row r="878">
      <c r="B878" s="173" t="str">
        <f>IFERROR(vlookup(A878,TSM!A:Q,8,FALSE),"")</f>
        <v/>
      </c>
      <c r="F878" s="93">
        <f t="shared" si="2"/>
        <v>0</v>
      </c>
      <c r="I878" s="173" t="str">
        <f>IFERROR(vlookup(A877,TSM!A:Q,2,FALSE),"")</f>
        <v/>
      </c>
      <c r="M878" s="93">
        <f t="shared" si="4"/>
        <v>0</v>
      </c>
    </row>
    <row r="879">
      <c r="B879" s="173" t="str">
        <f>IFERROR(vlookup(A879,TSM!A:Q,8,FALSE),"")</f>
        <v/>
      </c>
      <c r="F879" s="93">
        <f t="shared" si="2"/>
        <v>0</v>
      </c>
      <c r="I879" s="173" t="str">
        <f>IFERROR(vlookup(A878,TSM!A:Q,2,FALSE),"")</f>
        <v/>
      </c>
      <c r="M879" s="93">
        <f t="shared" si="4"/>
        <v>0</v>
      </c>
    </row>
    <row r="880">
      <c r="B880" s="173" t="str">
        <f>IFERROR(vlookup(A880,TSM!A:Q,8,FALSE),"")</f>
        <v/>
      </c>
      <c r="F880" s="93">
        <f t="shared" si="2"/>
        <v>0</v>
      </c>
      <c r="I880" s="173" t="str">
        <f>IFERROR(vlookup(A879,TSM!A:Q,2,FALSE),"")</f>
        <v/>
      </c>
      <c r="M880" s="93">
        <f t="shared" si="4"/>
        <v>0</v>
      </c>
    </row>
    <row r="881">
      <c r="B881" s="173" t="str">
        <f>IFERROR(vlookup(A881,TSM!A:Q,8,FALSE),"")</f>
        <v/>
      </c>
      <c r="F881" s="93">
        <f t="shared" si="2"/>
        <v>0</v>
      </c>
      <c r="I881" s="173" t="str">
        <f>IFERROR(vlookup(A880,TSM!A:Q,2,FALSE),"")</f>
        <v/>
      </c>
      <c r="M881" s="93">
        <f t="shared" si="4"/>
        <v>0</v>
      </c>
    </row>
    <row r="882">
      <c r="B882" s="173" t="str">
        <f>IFERROR(vlookup(A882,TSM!A:Q,8,FALSE),"")</f>
        <v/>
      </c>
      <c r="F882" s="93">
        <f t="shared" si="2"/>
        <v>0</v>
      </c>
      <c r="I882" s="173" t="str">
        <f>IFERROR(vlookup(A881,TSM!A:Q,2,FALSE),"")</f>
        <v/>
      </c>
      <c r="M882" s="93">
        <f t="shared" si="4"/>
        <v>0</v>
      </c>
    </row>
    <row r="883">
      <c r="B883" s="173" t="str">
        <f>IFERROR(vlookup(A883,TSM!A:Q,8,FALSE),"")</f>
        <v/>
      </c>
      <c r="F883" s="93">
        <f t="shared" si="2"/>
        <v>0</v>
      </c>
      <c r="I883" s="173" t="str">
        <f>IFERROR(vlookup(A882,TSM!A:Q,2,FALSE),"")</f>
        <v/>
      </c>
      <c r="M883" s="93">
        <f t="shared" si="4"/>
        <v>0</v>
      </c>
    </row>
    <row r="884">
      <c r="B884" s="173" t="str">
        <f>IFERROR(vlookup(A884,TSM!A:Q,8,FALSE),"")</f>
        <v/>
      </c>
      <c r="F884" s="93">
        <f t="shared" si="2"/>
        <v>0</v>
      </c>
      <c r="I884" s="173" t="str">
        <f>IFERROR(vlookup(A883,TSM!A:Q,2,FALSE),"")</f>
        <v/>
      </c>
      <c r="M884" s="93">
        <f t="shared" si="4"/>
        <v>0</v>
      </c>
    </row>
    <row r="885">
      <c r="B885" s="173" t="str">
        <f>IFERROR(vlookup(A885,TSM!A:Q,8,FALSE),"")</f>
        <v/>
      </c>
      <c r="F885" s="93">
        <f t="shared" si="2"/>
        <v>0</v>
      </c>
      <c r="I885" s="173" t="str">
        <f>IFERROR(vlookup(A884,TSM!A:Q,2,FALSE),"")</f>
        <v/>
      </c>
      <c r="M885" s="93">
        <f t="shared" si="4"/>
        <v>0</v>
      </c>
    </row>
    <row r="886">
      <c r="B886" s="173" t="str">
        <f>IFERROR(vlookup(A886,TSM!A:Q,8,FALSE),"")</f>
        <v/>
      </c>
      <c r="F886" s="93">
        <f t="shared" si="2"/>
        <v>0</v>
      </c>
      <c r="I886" s="173" t="str">
        <f>IFERROR(vlookup(A885,TSM!A:Q,2,FALSE),"")</f>
        <v/>
      </c>
      <c r="M886" s="93">
        <f t="shared" si="4"/>
        <v>0</v>
      </c>
    </row>
    <row r="887">
      <c r="B887" s="173" t="str">
        <f>IFERROR(vlookup(A887,TSM!A:Q,8,FALSE),"")</f>
        <v/>
      </c>
      <c r="F887" s="93">
        <f t="shared" si="2"/>
        <v>0</v>
      </c>
      <c r="I887" s="173" t="str">
        <f>IFERROR(vlookup(A886,TSM!A:Q,2,FALSE),"")</f>
        <v/>
      </c>
      <c r="M887" s="93">
        <f t="shared" si="4"/>
        <v>0</v>
      </c>
    </row>
    <row r="888">
      <c r="B888" s="173" t="str">
        <f>IFERROR(vlookup(A888,TSM!A:Q,8,FALSE),"")</f>
        <v/>
      </c>
      <c r="F888" s="93">
        <f t="shared" si="2"/>
        <v>0</v>
      </c>
      <c r="I888" s="173" t="str">
        <f>IFERROR(vlookup(A887,TSM!A:Q,2,FALSE),"")</f>
        <v/>
      </c>
      <c r="M888" s="93">
        <f t="shared" si="4"/>
        <v>0</v>
      </c>
    </row>
    <row r="889">
      <c r="B889" s="173" t="str">
        <f>IFERROR(vlookup(A889,TSM!A:Q,8,FALSE),"")</f>
        <v/>
      </c>
      <c r="F889" s="93">
        <f t="shared" si="2"/>
        <v>0</v>
      </c>
      <c r="I889" s="173" t="str">
        <f>IFERROR(vlookup(A888,TSM!A:Q,2,FALSE),"")</f>
        <v/>
      </c>
      <c r="M889" s="93">
        <f t="shared" si="4"/>
        <v>0</v>
      </c>
    </row>
    <row r="890">
      <c r="B890" s="173" t="str">
        <f>IFERROR(vlookup(A890,TSM!A:Q,8,FALSE),"")</f>
        <v/>
      </c>
      <c r="F890" s="93">
        <f t="shared" si="2"/>
        <v>0</v>
      </c>
      <c r="I890" s="173" t="str">
        <f>IFERROR(vlookup(A889,TSM!A:Q,2,FALSE),"")</f>
        <v/>
      </c>
      <c r="M890" s="93">
        <f t="shared" si="4"/>
        <v>0</v>
      </c>
    </row>
    <row r="891">
      <c r="B891" s="173" t="str">
        <f>IFERROR(vlookup(A891,TSM!A:Q,8,FALSE),"")</f>
        <v/>
      </c>
      <c r="F891" s="93">
        <f t="shared" si="2"/>
        <v>0</v>
      </c>
      <c r="I891" s="173" t="str">
        <f>IFERROR(vlookup(A890,TSM!A:Q,2,FALSE),"")</f>
        <v/>
      </c>
      <c r="M891" s="93">
        <f t="shared" si="4"/>
        <v>0</v>
      </c>
    </row>
    <row r="892">
      <c r="B892" s="173" t="str">
        <f>IFERROR(vlookup(A892,TSM!A:Q,8,FALSE),"")</f>
        <v/>
      </c>
      <c r="F892" s="93">
        <f t="shared" si="2"/>
        <v>0</v>
      </c>
      <c r="I892" s="173" t="str">
        <f>IFERROR(vlookup(A891,TSM!A:Q,2,FALSE),"")</f>
        <v/>
      </c>
      <c r="M892" s="93">
        <f t="shared" si="4"/>
        <v>0</v>
      </c>
    </row>
    <row r="893">
      <c r="B893" s="173" t="str">
        <f>IFERROR(vlookup(A893,TSM!A:Q,8,FALSE),"")</f>
        <v/>
      </c>
      <c r="F893" s="93">
        <f t="shared" si="2"/>
        <v>0</v>
      </c>
      <c r="I893" s="173" t="str">
        <f>IFERROR(vlookup(A892,TSM!A:Q,2,FALSE),"")</f>
        <v/>
      </c>
      <c r="M893" s="93">
        <f t="shared" si="4"/>
        <v>0</v>
      </c>
    </row>
    <row r="894">
      <c r="B894" s="173" t="str">
        <f>IFERROR(vlookup(A894,TSM!A:Q,8,FALSE),"")</f>
        <v/>
      </c>
      <c r="F894" s="93">
        <f t="shared" si="2"/>
        <v>0</v>
      </c>
      <c r="I894" s="173" t="str">
        <f>IFERROR(vlookup(A893,TSM!A:Q,2,FALSE),"")</f>
        <v/>
      </c>
      <c r="M894" s="93">
        <f t="shared" si="4"/>
        <v>0</v>
      </c>
    </row>
    <row r="895">
      <c r="B895" s="173" t="str">
        <f>IFERROR(vlookup(A895,TSM!A:Q,8,FALSE),"")</f>
        <v/>
      </c>
      <c r="F895" s="93">
        <f t="shared" si="2"/>
        <v>0</v>
      </c>
      <c r="I895" s="173" t="str">
        <f>IFERROR(vlookup(A894,TSM!A:Q,2,FALSE),"")</f>
        <v/>
      </c>
      <c r="M895" s="93">
        <f t="shared" si="4"/>
        <v>0</v>
      </c>
    </row>
    <row r="896">
      <c r="B896" s="173" t="str">
        <f>IFERROR(vlookup(A896,TSM!A:Q,8,FALSE),"")</f>
        <v/>
      </c>
      <c r="F896" s="93">
        <f t="shared" si="2"/>
        <v>0</v>
      </c>
      <c r="I896" s="173" t="str">
        <f>IFERROR(vlookup(A895,TSM!A:Q,2,FALSE),"")</f>
        <v/>
      </c>
      <c r="M896" s="93">
        <f t="shared" si="4"/>
        <v>0</v>
      </c>
    </row>
    <row r="897">
      <c r="B897" s="173" t="str">
        <f>IFERROR(vlookup(A897,TSM!A:Q,8,FALSE),"")</f>
        <v/>
      </c>
      <c r="F897" s="93">
        <f t="shared" si="2"/>
        <v>0</v>
      </c>
      <c r="I897" s="173" t="str">
        <f>IFERROR(vlookup(A896,TSM!A:Q,2,FALSE),"")</f>
        <v/>
      </c>
      <c r="M897" s="93">
        <f t="shared" si="4"/>
        <v>0</v>
      </c>
    </row>
    <row r="898">
      <c r="B898" s="173" t="str">
        <f>IFERROR(vlookup(A898,TSM!A:Q,8,FALSE),"")</f>
        <v/>
      </c>
      <c r="F898" s="93">
        <f t="shared" si="2"/>
        <v>0</v>
      </c>
      <c r="I898" s="173" t="str">
        <f>IFERROR(vlookup(A897,TSM!A:Q,2,FALSE),"")</f>
        <v/>
      </c>
      <c r="M898" s="93">
        <f t="shared" si="4"/>
        <v>0</v>
      </c>
    </row>
    <row r="899">
      <c r="B899" s="173" t="str">
        <f>IFERROR(vlookup(A899,TSM!A:Q,8,FALSE),"")</f>
        <v/>
      </c>
      <c r="F899" s="93">
        <f t="shared" si="2"/>
        <v>0</v>
      </c>
      <c r="I899" s="173" t="str">
        <f>IFERROR(vlookup(A898,TSM!A:Q,2,FALSE),"")</f>
        <v/>
      </c>
      <c r="M899" s="93">
        <f t="shared" si="4"/>
        <v>0</v>
      </c>
    </row>
    <row r="900">
      <c r="B900" s="173" t="str">
        <f>IFERROR(vlookup(A900,TSM!A:Q,8,FALSE),"")</f>
        <v/>
      </c>
      <c r="F900" s="93">
        <f t="shared" si="2"/>
        <v>0</v>
      </c>
      <c r="I900" s="173" t="str">
        <f>IFERROR(vlookup(A899,TSM!A:Q,2,FALSE),"")</f>
        <v/>
      </c>
      <c r="M900" s="93">
        <f t="shared" si="4"/>
        <v>0</v>
      </c>
    </row>
    <row r="901">
      <c r="B901" s="173" t="str">
        <f>IFERROR(vlookup(A901,TSM!A:Q,8,FALSE),"")</f>
        <v/>
      </c>
      <c r="F901" s="93">
        <f t="shared" si="2"/>
        <v>0</v>
      </c>
      <c r="I901" s="173" t="str">
        <f>IFERROR(vlookup(A900,TSM!A:Q,2,FALSE),"")</f>
        <v/>
      </c>
      <c r="M901" s="93">
        <f t="shared" si="4"/>
        <v>0</v>
      </c>
    </row>
    <row r="902">
      <c r="B902" s="173" t="str">
        <f>IFERROR(vlookup(A902,TSM!A:Q,8,FALSE),"")</f>
        <v/>
      </c>
      <c r="F902" s="93">
        <f t="shared" si="2"/>
        <v>0</v>
      </c>
      <c r="I902" s="173" t="str">
        <f>IFERROR(vlookup(A901,TSM!A:Q,2,FALSE),"")</f>
        <v/>
      </c>
      <c r="M902" s="93">
        <f t="shared" si="4"/>
        <v>0</v>
      </c>
    </row>
    <row r="903">
      <c r="B903" s="173" t="str">
        <f>IFERROR(vlookup(A903,TSM!A:Q,8,FALSE),"")</f>
        <v/>
      </c>
      <c r="F903" s="93">
        <f t="shared" si="2"/>
        <v>0</v>
      </c>
      <c r="I903" s="173" t="str">
        <f>IFERROR(vlookup(A902,TSM!A:Q,2,FALSE),"")</f>
        <v/>
      </c>
      <c r="M903" s="93">
        <f t="shared" si="4"/>
        <v>0</v>
      </c>
    </row>
    <row r="904">
      <c r="B904" s="173" t="str">
        <f>IFERROR(vlookup(A904,TSM!A:Q,8,FALSE),"")</f>
        <v/>
      </c>
      <c r="F904" s="93">
        <f t="shared" si="2"/>
        <v>0</v>
      </c>
      <c r="I904" s="173" t="str">
        <f>IFERROR(vlookup(A903,TSM!A:Q,2,FALSE),"")</f>
        <v/>
      </c>
      <c r="M904" s="93">
        <f t="shared" si="4"/>
        <v>0</v>
      </c>
    </row>
    <row r="905">
      <c r="B905" s="173" t="str">
        <f>IFERROR(vlookup(A905,TSM!A:Q,8,FALSE),"")</f>
        <v/>
      </c>
      <c r="F905" s="93">
        <f t="shared" si="2"/>
        <v>0</v>
      </c>
      <c r="I905" s="173" t="str">
        <f>IFERROR(vlookup(A904,TSM!A:Q,2,FALSE),"")</f>
        <v/>
      </c>
      <c r="M905" s="93">
        <f t="shared" si="4"/>
        <v>0</v>
      </c>
    </row>
    <row r="906">
      <c r="B906" s="173" t="str">
        <f>IFERROR(vlookup(A906,TSM!A:Q,8,FALSE),"")</f>
        <v/>
      </c>
      <c r="F906" s="93">
        <f t="shared" si="2"/>
        <v>0</v>
      </c>
      <c r="I906" s="173" t="str">
        <f>IFERROR(vlookup(A905,TSM!A:Q,2,FALSE),"")</f>
        <v/>
      </c>
      <c r="M906" s="93">
        <f t="shared" si="4"/>
        <v>0</v>
      </c>
    </row>
    <row r="907">
      <c r="B907" s="173" t="str">
        <f>IFERROR(vlookup(A907,TSM!A:Q,8,FALSE),"")</f>
        <v/>
      </c>
      <c r="F907" s="93">
        <f t="shared" si="2"/>
        <v>0</v>
      </c>
      <c r="I907" s="173" t="str">
        <f>IFERROR(vlookup(A906,TSM!A:Q,2,FALSE),"")</f>
        <v/>
      </c>
      <c r="M907" s="93">
        <f t="shared" si="4"/>
        <v>0</v>
      </c>
    </row>
    <row r="908">
      <c r="B908" s="173" t="str">
        <f>IFERROR(vlookup(A908,TSM!A:Q,8,FALSE),"")</f>
        <v/>
      </c>
      <c r="F908" s="93">
        <f t="shared" si="2"/>
        <v>0</v>
      </c>
      <c r="I908" s="173" t="str">
        <f>IFERROR(vlookup(A907,TSM!A:Q,2,FALSE),"")</f>
        <v/>
      </c>
      <c r="M908" s="93">
        <f t="shared" si="4"/>
        <v>0</v>
      </c>
    </row>
    <row r="909">
      <c r="B909" s="173" t="str">
        <f>IFERROR(vlookup(A909,TSM!A:Q,8,FALSE),"")</f>
        <v/>
      </c>
      <c r="F909" s="93">
        <f t="shared" si="2"/>
        <v>0</v>
      </c>
      <c r="I909" s="173" t="str">
        <f>IFERROR(vlookup(A908,TSM!A:Q,2,FALSE),"")</f>
        <v/>
      </c>
      <c r="M909" s="93">
        <f t="shared" si="4"/>
        <v>0</v>
      </c>
    </row>
    <row r="910">
      <c r="B910" s="173" t="str">
        <f>IFERROR(vlookup(A910,TSM!A:Q,8,FALSE),"")</f>
        <v/>
      </c>
      <c r="F910" s="93">
        <f t="shared" si="2"/>
        <v>0</v>
      </c>
      <c r="I910" s="173" t="str">
        <f>IFERROR(vlookup(A909,TSM!A:Q,2,FALSE),"")</f>
        <v/>
      </c>
      <c r="M910" s="93">
        <f t="shared" si="4"/>
        <v>0</v>
      </c>
    </row>
    <row r="911">
      <c r="B911" s="173" t="str">
        <f>IFERROR(vlookup(A911,TSM!A:Q,8,FALSE),"")</f>
        <v/>
      </c>
      <c r="F911" s="93">
        <f t="shared" si="2"/>
        <v>0</v>
      </c>
      <c r="I911" s="173" t="str">
        <f>IFERROR(vlookup(A910,TSM!A:Q,2,FALSE),"")</f>
        <v/>
      </c>
      <c r="M911" s="93">
        <f t="shared" si="4"/>
        <v>0</v>
      </c>
    </row>
    <row r="912">
      <c r="B912" s="173" t="str">
        <f>IFERROR(vlookup(A912,TSM!A:Q,8,FALSE),"")</f>
        <v/>
      </c>
      <c r="F912" s="93">
        <f t="shared" si="2"/>
        <v>0</v>
      </c>
      <c r="I912" s="173" t="str">
        <f>IFERROR(vlookup(A911,TSM!A:Q,2,FALSE),"")</f>
        <v/>
      </c>
      <c r="M912" s="93">
        <f t="shared" si="4"/>
        <v>0</v>
      </c>
    </row>
    <row r="913">
      <c r="B913" s="173" t="str">
        <f>IFERROR(vlookup(A913,TSM!A:Q,8,FALSE),"")</f>
        <v/>
      </c>
      <c r="F913" s="93">
        <f t="shared" si="2"/>
        <v>0</v>
      </c>
      <c r="I913" s="173" t="str">
        <f>IFERROR(vlookup(A912,TSM!A:Q,2,FALSE),"")</f>
        <v/>
      </c>
      <c r="M913" s="93">
        <f t="shared" si="4"/>
        <v>0</v>
      </c>
    </row>
    <row r="914">
      <c r="B914" s="173" t="str">
        <f>IFERROR(vlookup(A914,TSM!A:Q,8,FALSE),"")</f>
        <v/>
      </c>
      <c r="F914" s="93">
        <f t="shared" si="2"/>
        <v>0</v>
      </c>
      <c r="I914" s="173" t="str">
        <f>IFERROR(vlookup(A913,TSM!A:Q,2,FALSE),"")</f>
        <v/>
      </c>
      <c r="M914" s="93">
        <f t="shared" si="4"/>
        <v>0</v>
      </c>
    </row>
    <row r="915">
      <c r="B915" s="173" t="str">
        <f>IFERROR(vlookup(A915,TSM!A:Q,8,FALSE),"")</f>
        <v/>
      </c>
      <c r="F915" s="93">
        <f t="shared" si="2"/>
        <v>0</v>
      </c>
      <c r="I915" s="173" t="str">
        <f>IFERROR(vlookup(A914,TSM!A:Q,2,FALSE),"")</f>
        <v/>
      </c>
      <c r="M915" s="93">
        <f t="shared" si="4"/>
        <v>0</v>
      </c>
    </row>
    <row r="916">
      <c r="B916" s="173" t="str">
        <f>IFERROR(vlookup(A916,TSM!A:Q,8,FALSE),"")</f>
        <v/>
      </c>
      <c r="F916" s="93">
        <f t="shared" si="2"/>
        <v>0</v>
      </c>
      <c r="I916" s="173" t="str">
        <f>IFERROR(vlookup(A915,TSM!A:Q,2,FALSE),"")</f>
        <v/>
      </c>
      <c r="M916" s="93">
        <f t="shared" si="4"/>
        <v>0</v>
      </c>
    </row>
    <row r="917">
      <c r="B917" s="173" t="str">
        <f>IFERROR(vlookup(A917,TSM!A:Q,8,FALSE),"")</f>
        <v/>
      </c>
      <c r="F917" s="93">
        <f t="shared" si="2"/>
        <v>0</v>
      </c>
      <c r="I917" s="173" t="str">
        <f>IFERROR(vlookup(A916,TSM!A:Q,2,FALSE),"")</f>
        <v/>
      </c>
      <c r="M917" s="93">
        <f t="shared" si="4"/>
        <v>0</v>
      </c>
    </row>
    <row r="918">
      <c r="B918" s="173" t="str">
        <f>IFERROR(vlookup(A918,TSM!A:Q,8,FALSE),"")</f>
        <v/>
      </c>
      <c r="F918" s="93">
        <f t="shared" si="2"/>
        <v>0</v>
      </c>
      <c r="I918" s="173" t="str">
        <f>IFERROR(vlookup(A917,TSM!A:Q,2,FALSE),"")</f>
        <v/>
      </c>
      <c r="M918" s="93">
        <f t="shared" si="4"/>
        <v>0</v>
      </c>
    </row>
    <row r="919">
      <c r="B919" s="173" t="str">
        <f>IFERROR(vlookup(A919,TSM!A:Q,8,FALSE),"")</f>
        <v/>
      </c>
      <c r="F919" s="93">
        <f t="shared" si="2"/>
        <v>0</v>
      </c>
      <c r="I919" s="173" t="str">
        <f>IFERROR(vlookup(A918,TSM!A:Q,2,FALSE),"")</f>
        <v/>
      </c>
      <c r="M919" s="93">
        <f t="shared" si="4"/>
        <v>0</v>
      </c>
    </row>
    <row r="920">
      <c r="B920" s="173" t="str">
        <f>IFERROR(vlookup(A920,TSM!A:Q,8,FALSE),"")</f>
        <v/>
      </c>
      <c r="F920" s="93">
        <f t="shared" si="2"/>
        <v>0</v>
      </c>
      <c r="I920" s="173" t="str">
        <f>IFERROR(vlookup(A919,TSM!A:Q,2,FALSE),"")</f>
        <v/>
      </c>
      <c r="M920" s="93">
        <f t="shared" si="4"/>
        <v>0</v>
      </c>
    </row>
    <row r="921">
      <c r="B921" s="173" t="str">
        <f>IFERROR(vlookup(A921,TSM!A:Q,8,FALSE),"")</f>
        <v/>
      </c>
      <c r="F921" s="93">
        <f t="shared" si="2"/>
        <v>0</v>
      </c>
      <c r="I921" s="173" t="str">
        <f>IFERROR(vlookup(A920,TSM!A:Q,2,FALSE),"")</f>
        <v/>
      </c>
      <c r="M921" s="93">
        <f t="shared" si="4"/>
        <v>0</v>
      </c>
    </row>
    <row r="922">
      <c r="B922" s="173" t="str">
        <f>IFERROR(vlookup(A922,TSM!A:Q,8,FALSE),"")</f>
        <v/>
      </c>
      <c r="F922" s="93">
        <f t="shared" si="2"/>
        <v>0</v>
      </c>
      <c r="I922" s="173" t="str">
        <f>IFERROR(vlookup(A921,TSM!A:Q,2,FALSE),"")</f>
        <v/>
      </c>
      <c r="M922" s="93">
        <f t="shared" si="4"/>
        <v>0</v>
      </c>
    </row>
    <row r="923">
      <c r="B923" s="173" t="str">
        <f>IFERROR(vlookup(A923,TSM!A:Q,8,FALSE),"")</f>
        <v/>
      </c>
      <c r="F923" s="93">
        <f t="shared" si="2"/>
        <v>0</v>
      </c>
      <c r="I923" s="173" t="str">
        <f>IFERROR(vlookup(A922,TSM!A:Q,2,FALSE),"")</f>
        <v/>
      </c>
      <c r="M923" s="93">
        <f t="shared" si="4"/>
        <v>0</v>
      </c>
    </row>
    <row r="924">
      <c r="B924" s="173" t="str">
        <f>IFERROR(vlookup(A924,TSM!A:Q,8,FALSE),"")</f>
        <v/>
      </c>
      <c r="F924" s="93">
        <f t="shared" si="2"/>
        <v>0</v>
      </c>
      <c r="I924" s="173" t="str">
        <f>IFERROR(vlookup(A923,TSM!A:Q,2,FALSE),"")</f>
        <v/>
      </c>
      <c r="M924" s="93">
        <f t="shared" si="4"/>
        <v>0</v>
      </c>
    </row>
    <row r="925">
      <c r="B925" s="173" t="str">
        <f>IFERROR(vlookup(A925,TSM!A:Q,8,FALSE),"")</f>
        <v/>
      </c>
      <c r="F925" s="93">
        <f t="shared" si="2"/>
        <v>0</v>
      </c>
      <c r="I925" s="173" t="str">
        <f>IFERROR(vlookup(A924,TSM!A:Q,2,FALSE),"")</f>
        <v/>
      </c>
      <c r="M925" s="93">
        <f t="shared" si="4"/>
        <v>0</v>
      </c>
    </row>
    <row r="926">
      <c r="B926" s="173" t="str">
        <f>IFERROR(vlookup(A926,TSM!A:Q,8,FALSE),"")</f>
        <v/>
      </c>
      <c r="F926" s="93">
        <f t="shared" si="2"/>
        <v>0</v>
      </c>
      <c r="I926" s="173" t="str">
        <f>IFERROR(vlookup(A925,TSM!A:Q,2,FALSE),"")</f>
        <v/>
      </c>
      <c r="M926" s="93">
        <f t="shared" si="4"/>
        <v>0</v>
      </c>
    </row>
    <row r="927">
      <c r="B927" s="173" t="str">
        <f>IFERROR(vlookup(A927,TSM!A:Q,8,FALSE),"")</f>
        <v/>
      </c>
      <c r="F927" s="93">
        <f t="shared" si="2"/>
        <v>0</v>
      </c>
      <c r="I927" s="173" t="str">
        <f>IFERROR(vlookup(A926,TSM!A:Q,2,FALSE),"")</f>
        <v/>
      </c>
      <c r="M927" s="93">
        <f t="shared" si="4"/>
        <v>0</v>
      </c>
    </row>
    <row r="928">
      <c r="B928" s="173" t="str">
        <f>IFERROR(vlookup(A928,TSM!A:Q,8,FALSE),"")</f>
        <v/>
      </c>
      <c r="F928" s="93">
        <f t="shared" si="2"/>
        <v>0</v>
      </c>
      <c r="I928" s="173" t="str">
        <f>IFERROR(vlookup(A927,TSM!A:Q,2,FALSE),"")</f>
        <v/>
      </c>
      <c r="M928" s="93">
        <f t="shared" si="4"/>
        <v>0</v>
      </c>
    </row>
    <row r="929">
      <c r="B929" s="173" t="str">
        <f>IFERROR(vlookup(A929,TSM!A:Q,8,FALSE),"")</f>
        <v/>
      </c>
      <c r="F929" s="93">
        <f t="shared" si="2"/>
        <v>0</v>
      </c>
      <c r="I929" s="173" t="str">
        <f>IFERROR(vlookup(A928,TSM!A:Q,2,FALSE),"")</f>
        <v/>
      </c>
      <c r="M929" s="93">
        <f t="shared" si="4"/>
        <v>0</v>
      </c>
    </row>
    <row r="930">
      <c r="B930" s="173" t="str">
        <f>IFERROR(vlookup(A930,TSM!A:Q,8,FALSE),"")</f>
        <v/>
      </c>
      <c r="F930" s="93">
        <f t="shared" si="2"/>
        <v>0</v>
      </c>
      <c r="I930" s="173" t="str">
        <f>IFERROR(vlookup(A929,TSM!A:Q,2,FALSE),"")</f>
        <v/>
      </c>
      <c r="M930" s="93">
        <f t="shared" si="4"/>
        <v>0</v>
      </c>
    </row>
    <row r="931">
      <c r="B931" s="173" t="str">
        <f>IFERROR(vlookup(A931,TSM!A:Q,8,FALSE),"")</f>
        <v/>
      </c>
      <c r="F931" s="93">
        <f t="shared" si="2"/>
        <v>0</v>
      </c>
      <c r="I931" s="173" t="str">
        <f>IFERROR(vlookup(A930,TSM!A:Q,2,FALSE),"")</f>
        <v/>
      </c>
      <c r="M931" s="93">
        <f t="shared" si="4"/>
        <v>0</v>
      </c>
    </row>
    <row r="932">
      <c r="B932" s="173" t="str">
        <f>IFERROR(vlookup(A932,TSM!A:Q,8,FALSE),"")</f>
        <v/>
      </c>
      <c r="F932" s="93">
        <f t="shared" si="2"/>
        <v>0</v>
      </c>
      <c r="I932" s="173" t="str">
        <f>IFERROR(vlookup(A931,TSM!A:Q,2,FALSE),"")</f>
        <v/>
      </c>
      <c r="M932" s="93">
        <f t="shared" si="4"/>
        <v>0</v>
      </c>
    </row>
    <row r="933">
      <c r="B933" s="173" t="str">
        <f>IFERROR(vlookup(A933,TSM!A:Q,8,FALSE),"")</f>
        <v/>
      </c>
      <c r="F933" s="93">
        <f t="shared" si="2"/>
        <v>0</v>
      </c>
      <c r="I933" s="173" t="str">
        <f>IFERROR(vlookup(A932,TSM!A:Q,2,FALSE),"")</f>
        <v/>
      </c>
      <c r="M933" s="93">
        <f t="shared" si="4"/>
        <v>0</v>
      </c>
    </row>
    <row r="934">
      <c r="B934" s="173" t="str">
        <f>IFERROR(vlookup(A934,TSM!A:Q,8,FALSE),"")</f>
        <v/>
      </c>
      <c r="F934" s="93">
        <f t="shared" si="2"/>
        <v>0</v>
      </c>
      <c r="I934" s="173" t="str">
        <f>IFERROR(vlookup(A933,TSM!A:Q,2,FALSE),"")</f>
        <v/>
      </c>
      <c r="M934" s="93">
        <f t="shared" si="4"/>
        <v>0</v>
      </c>
    </row>
    <row r="935">
      <c r="B935" s="173" t="str">
        <f>IFERROR(vlookup(A935,TSM!A:Q,8,FALSE),"")</f>
        <v/>
      </c>
      <c r="F935" s="93">
        <f t="shared" si="2"/>
        <v>0</v>
      </c>
      <c r="I935" s="173" t="str">
        <f>IFERROR(vlookup(A934,TSM!A:Q,2,FALSE),"")</f>
        <v/>
      </c>
      <c r="M935" s="93">
        <f t="shared" si="4"/>
        <v>0</v>
      </c>
    </row>
    <row r="936">
      <c r="B936" s="173" t="str">
        <f>IFERROR(vlookup(A936,TSM!A:Q,8,FALSE),"")</f>
        <v/>
      </c>
      <c r="F936" s="93">
        <f t="shared" si="2"/>
        <v>0</v>
      </c>
      <c r="I936" s="173" t="str">
        <f>IFERROR(vlookup(A935,TSM!A:Q,2,FALSE),"")</f>
        <v/>
      </c>
      <c r="M936" s="93">
        <f t="shared" si="4"/>
        <v>0</v>
      </c>
    </row>
    <row r="937">
      <c r="B937" s="173" t="str">
        <f>IFERROR(vlookup(A937,TSM!A:Q,8,FALSE),"")</f>
        <v/>
      </c>
      <c r="F937" s="93">
        <f t="shared" si="2"/>
        <v>0</v>
      </c>
      <c r="I937" s="173" t="str">
        <f>IFERROR(vlookup(A936,TSM!A:Q,2,FALSE),"")</f>
        <v/>
      </c>
      <c r="M937" s="93">
        <f t="shared" si="4"/>
        <v>0</v>
      </c>
    </row>
    <row r="938">
      <c r="B938" s="173" t="str">
        <f>IFERROR(vlookup(A938,TSM!A:Q,8,FALSE),"")</f>
        <v/>
      </c>
      <c r="F938" s="93">
        <f t="shared" si="2"/>
        <v>0</v>
      </c>
      <c r="I938" s="173" t="str">
        <f>IFERROR(vlookup(A937,TSM!A:Q,2,FALSE),"")</f>
        <v/>
      </c>
      <c r="M938" s="93">
        <f t="shared" si="4"/>
        <v>0</v>
      </c>
    </row>
    <row r="939">
      <c r="B939" s="173" t="str">
        <f>IFERROR(vlookup(A939,TSM!A:Q,8,FALSE),"")</f>
        <v/>
      </c>
      <c r="F939" s="93">
        <f t="shared" si="2"/>
        <v>0</v>
      </c>
      <c r="I939" s="173" t="str">
        <f>IFERROR(vlookup(A938,TSM!A:Q,2,FALSE),"")</f>
        <v/>
      </c>
      <c r="M939" s="93">
        <f t="shared" si="4"/>
        <v>0</v>
      </c>
    </row>
    <row r="940">
      <c r="B940" s="173" t="str">
        <f>IFERROR(vlookup(A940,TSM!A:Q,8,FALSE),"")</f>
        <v/>
      </c>
      <c r="F940" s="93">
        <f t="shared" si="2"/>
        <v>0</v>
      </c>
      <c r="I940" s="173" t="str">
        <f>IFERROR(vlookup(A939,TSM!A:Q,2,FALSE),"")</f>
        <v/>
      </c>
      <c r="M940" s="93">
        <f t="shared" si="4"/>
        <v>0</v>
      </c>
    </row>
    <row r="941">
      <c r="B941" s="173" t="str">
        <f>IFERROR(vlookup(A941,TSM!A:Q,8,FALSE),"")</f>
        <v/>
      </c>
      <c r="F941" s="93">
        <f t="shared" si="2"/>
        <v>0</v>
      </c>
      <c r="I941" s="173" t="str">
        <f>IFERROR(vlookup(A940,TSM!A:Q,2,FALSE),"")</f>
        <v/>
      </c>
      <c r="M941" s="93">
        <f t="shared" si="4"/>
        <v>0</v>
      </c>
    </row>
    <row r="942">
      <c r="B942" s="173" t="str">
        <f>IFERROR(vlookup(A942,TSM!A:Q,8,FALSE),"")</f>
        <v/>
      </c>
      <c r="F942" s="93">
        <f t="shared" si="2"/>
        <v>0</v>
      </c>
      <c r="I942" s="173" t="str">
        <f>IFERROR(vlookup(A941,TSM!A:Q,2,FALSE),"")</f>
        <v/>
      </c>
      <c r="M942" s="93">
        <f t="shared" si="4"/>
        <v>0</v>
      </c>
    </row>
    <row r="943">
      <c r="B943" s="173" t="str">
        <f>IFERROR(vlookup(A943,TSM!A:Q,8,FALSE),"")</f>
        <v/>
      </c>
      <c r="F943" s="93">
        <f t="shared" si="2"/>
        <v>0</v>
      </c>
      <c r="I943" s="173" t="str">
        <f>IFERROR(vlookup(A942,TSM!A:Q,2,FALSE),"")</f>
        <v/>
      </c>
      <c r="M943" s="93">
        <f t="shared" si="4"/>
        <v>0</v>
      </c>
    </row>
    <row r="944">
      <c r="B944" s="173" t="str">
        <f>IFERROR(vlookup(A944,TSM!A:Q,8,FALSE),"")</f>
        <v/>
      </c>
      <c r="F944" s="93">
        <f t="shared" si="2"/>
        <v>0</v>
      </c>
      <c r="I944" s="173" t="str">
        <f>IFERROR(vlookup(A943,TSM!A:Q,2,FALSE),"")</f>
        <v/>
      </c>
      <c r="M944" s="93">
        <f t="shared" si="4"/>
        <v>0</v>
      </c>
    </row>
    <row r="945">
      <c r="B945" s="173" t="str">
        <f>IFERROR(vlookup(A945,TSM!A:Q,8,FALSE),"")</f>
        <v/>
      </c>
      <c r="F945" s="93">
        <f t="shared" si="2"/>
        <v>0</v>
      </c>
      <c r="I945" s="173" t="str">
        <f>IFERROR(vlookup(A944,TSM!A:Q,2,FALSE),"")</f>
        <v/>
      </c>
      <c r="M945" s="93">
        <f t="shared" si="4"/>
        <v>0</v>
      </c>
    </row>
    <row r="946">
      <c r="B946" s="173" t="str">
        <f>IFERROR(vlookup(A946,TSM!A:Q,8,FALSE),"")</f>
        <v/>
      </c>
      <c r="F946" s="93">
        <f t="shared" si="2"/>
        <v>0</v>
      </c>
      <c r="I946" s="173" t="str">
        <f>IFERROR(vlookup(A945,TSM!A:Q,2,FALSE),"")</f>
        <v/>
      </c>
      <c r="M946" s="93">
        <f t="shared" si="4"/>
        <v>0</v>
      </c>
    </row>
    <row r="947">
      <c r="B947" s="173" t="str">
        <f>IFERROR(vlookup(A947,TSM!A:Q,8,FALSE),"")</f>
        <v/>
      </c>
      <c r="F947" s="93">
        <f t="shared" si="2"/>
        <v>0</v>
      </c>
      <c r="I947" s="173" t="str">
        <f>IFERROR(vlookup(A946,TSM!A:Q,2,FALSE),"")</f>
        <v/>
      </c>
      <c r="M947" s="93">
        <f t="shared" si="4"/>
        <v>0</v>
      </c>
    </row>
    <row r="948">
      <c r="B948" s="173" t="str">
        <f>IFERROR(vlookup(A948,TSM!A:Q,8,FALSE),"")</f>
        <v/>
      </c>
      <c r="F948" s="93">
        <f t="shared" si="2"/>
        <v>0</v>
      </c>
      <c r="I948" s="173" t="str">
        <f>IFERROR(vlookup(A947,TSM!A:Q,2,FALSE),"")</f>
        <v/>
      </c>
      <c r="M948" s="93">
        <f t="shared" si="4"/>
        <v>0</v>
      </c>
    </row>
    <row r="949">
      <c r="B949" s="173" t="str">
        <f>IFERROR(vlookup(A949,TSM!A:Q,8,FALSE),"")</f>
        <v/>
      </c>
      <c r="F949" s="93">
        <f t="shared" si="2"/>
        <v>0</v>
      </c>
      <c r="I949" s="173" t="str">
        <f>IFERROR(vlookup(A948,TSM!A:Q,2,FALSE),"")</f>
        <v/>
      </c>
      <c r="M949" s="93">
        <f t="shared" si="4"/>
        <v>0</v>
      </c>
    </row>
    <row r="950">
      <c r="B950" s="173" t="str">
        <f>IFERROR(vlookup(A950,TSM!A:Q,8,FALSE),"")</f>
        <v/>
      </c>
      <c r="F950" s="93">
        <f t="shared" si="2"/>
        <v>0</v>
      </c>
      <c r="I950" s="173" t="str">
        <f>IFERROR(vlookup(A949,TSM!A:Q,2,FALSE),"")</f>
        <v/>
      </c>
      <c r="M950" s="93">
        <f t="shared" si="4"/>
        <v>0</v>
      </c>
    </row>
    <row r="951">
      <c r="B951" s="173" t="str">
        <f>IFERROR(vlookup(A951,TSM!A:Q,8,FALSE),"")</f>
        <v/>
      </c>
      <c r="F951" s="93">
        <f t="shared" si="2"/>
        <v>0</v>
      </c>
      <c r="I951" s="173" t="str">
        <f>IFERROR(vlookup(A950,TSM!A:Q,2,FALSE),"")</f>
        <v/>
      </c>
      <c r="M951" s="93">
        <f t="shared" si="4"/>
        <v>0</v>
      </c>
    </row>
    <row r="952">
      <c r="B952" s="173" t="str">
        <f>IFERROR(vlookup(A952,TSM!A:Q,8,FALSE),"")</f>
        <v/>
      </c>
      <c r="F952" s="93">
        <f t="shared" si="2"/>
        <v>0</v>
      </c>
      <c r="I952" s="173" t="str">
        <f>IFERROR(vlookup(A951,TSM!A:Q,2,FALSE),"")</f>
        <v/>
      </c>
      <c r="M952" s="93">
        <f t="shared" si="4"/>
        <v>0</v>
      </c>
    </row>
    <row r="953">
      <c r="B953" s="173" t="str">
        <f>IFERROR(vlookup(A953,TSM!A:Q,8,FALSE),"")</f>
        <v/>
      </c>
      <c r="F953" s="93">
        <f t="shared" si="2"/>
        <v>0</v>
      </c>
      <c r="I953" s="173" t="str">
        <f>IFERROR(vlookup(A952,TSM!A:Q,2,FALSE),"")</f>
        <v/>
      </c>
      <c r="M953" s="93">
        <f t="shared" si="4"/>
        <v>0</v>
      </c>
    </row>
    <row r="954">
      <c r="B954" s="173" t="str">
        <f>IFERROR(vlookup(A954,TSM!A:Q,8,FALSE),"")</f>
        <v/>
      </c>
      <c r="F954" s="93">
        <f t="shared" si="2"/>
        <v>0</v>
      </c>
      <c r="I954" s="173" t="str">
        <f>IFERROR(vlookup(A953,TSM!A:Q,2,FALSE),"")</f>
        <v/>
      </c>
      <c r="M954" s="93">
        <f t="shared" si="4"/>
        <v>0</v>
      </c>
    </row>
    <row r="955">
      <c r="B955" s="173" t="str">
        <f>IFERROR(vlookup(A955,TSM!A:Q,8,FALSE),"")</f>
        <v/>
      </c>
      <c r="F955" s="93">
        <f t="shared" si="2"/>
        <v>0</v>
      </c>
      <c r="I955" s="173" t="str">
        <f>IFERROR(vlookup(A954,TSM!A:Q,2,FALSE),"")</f>
        <v/>
      </c>
      <c r="M955" s="93">
        <f t="shared" si="4"/>
        <v>0</v>
      </c>
    </row>
    <row r="956">
      <c r="B956" s="173" t="str">
        <f>IFERROR(vlookup(A956,TSM!A:Q,8,FALSE),"")</f>
        <v/>
      </c>
      <c r="F956" s="93">
        <f t="shared" si="2"/>
        <v>0</v>
      </c>
      <c r="I956" s="173" t="str">
        <f>IFERROR(vlookup(A955,TSM!A:Q,2,FALSE),"")</f>
        <v/>
      </c>
      <c r="M956" s="93">
        <f t="shared" si="4"/>
        <v>0</v>
      </c>
    </row>
    <row r="957">
      <c r="B957" s="173" t="str">
        <f>IFERROR(vlookup(A957,TSM!A:Q,8,FALSE),"")</f>
        <v/>
      </c>
      <c r="F957" s="93">
        <f t="shared" si="2"/>
        <v>0</v>
      </c>
      <c r="I957" s="173" t="str">
        <f>IFERROR(vlookup(A956,TSM!A:Q,2,FALSE),"")</f>
        <v/>
      </c>
      <c r="M957" s="93">
        <f t="shared" si="4"/>
        <v>0</v>
      </c>
    </row>
    <row r="958">
      <c r="B958" s="173" t="str">
        <f>IFERROR(vlookup(A958,TSM!A:Q,8,FALSE),"")</f>
        <v/>
      </c>
      <c r="F958" s="93">
        <f t="shared" si="2"/>
        <v>0</v>
      </c>
      <c r="I958" s="173" t="str">
        <f>IFERROR(vlookup(A957,TSM!A:Q,2,FALSE),"")</f>
        <v/>
      </c>
      <c r="M958" s="93">
        <f t="shared" si="4"/>
        <v>0</v>
      </c>
    </row>
    <row r="959">
      <c r="B959" s="173" t="str">
        <f>IFERROR(vlookup(A959,TSM!A:Q,8,FALSE),"")</f>
        <v/>
      </c>
      <c r="F959" s="93">
        <f t="shared" si="2"/>
        <v>0</v>
      </c>
      <c r="I959" s="173" t="str">
        <f>IFERROR(vlookup(A958,TSM!A:Q,2,FALSE),"")</f>
        <v/>
      </c>
      <c r="M959" s="93">
        <f t="shared" si="4"/>
        <v>0</v>
      </c>
    </row>
    <row r="960">
      <c r="B960" s="173" t="str">
        <f>IFERROR(vlookup(A960,TSM!A:Q,8,FALSE),"")</f>
        <v/>
      </c>
      <c r="F960" s="93">
        <f t="shared" si="2"/>
        <v>0</v>
      </c>
      <c r="I960" s="173" t="str">
        <f>IFERROR(vlookup(A959,TSM!A:Q,2,FALSE),"")</f>
        <v/>
      </c>
      <c r="M960" s="93">
        <f t="shared" si="4"/>
        <v>0</v>
      </c>
    </row>
    <row r="961">
      <c r="B961" s="173" t="str">
        <f>IFERROR(vlookup(A961,TSM!A:Q,8,FALSE),"")</f>
        <v/>
      </c>
      <c r="F961" s="93">
        <f t="shared" si="2"/>
        <v>0</v>
      </c>
      <c r="I961" s="173" t="str">
        <f>IFERROR(vlookup(A960,TSM!A:Q,2,FALSE),"")</f>
        <v/>
      </c>
      <c r="M961" s="93">
        <f t="shared" si="4"/>
        <v>0</v>
      </c>
    </row>
    <row r="962">
      <c r="B962" s="173" t="str">
        <f>IFERROR(vlookup(A962,TSM!A:Q,8,FALSE),"")</f>
        <v/>
      </c>
      <c r="F962" s="93">
        <f t="shared" si="2"/>
        <v>0</v>
      </c>
      <c r="I962" s="173" t="str">
        <f>IFERROR(vlookup(A961,TSM!A:Q,2,FALSE),"")</f>
        <v/>
      </c>
      <c r="M962" s="93">
        <f t="shared" si="4"/>
        <v>0</v>
      </c>
    </row>
    <row r="963">
      <c r="B963" s="173" t="str">
        <f>IFERROR(vlookup(A963,TSM!A:Q,8,FALSE),"")</f>
        <v/>
      </c>
      <c r="F963" s="93">
        <f t="shared" si="2"/>
        <v>0</v>
      </c>
      <c r="I963" s="173" t="str">
        <f>IFERROR(vlookup(A962,TSM!A:Q,2,FALSE),"")</f>
        <v/>
      </c>
      <c r="M963" s="93">
        <f t="shared" si="4"/>
        <v>0</v>
      </c>
    </row>
    <row r="964">
      <c r="B964" s="173" t="str">
        <f>IFERROR(vlookup(A964,TSM!A:Q,8,FALSE),"")</f>
        <v/>
      </c>
      <c r="F964" s="93">
        <f t="shared" si="2"/>
        <v>0</v>
      </c>
      <c r="I964" s="173" t="str">
        <f>IFERROR(vlookup(A963,TSM!A:Q,2,FALSE),"")</f>
        <v/>
      </c>
      <c r="M964" s="93">
        <f t="shared" si="4"/>
        <v>0</v>
      </c>
    </row>
    <row r="965">
      <c r="B965" s="173" t="str">
        <f>IFERROR(vlookup(A965,TSM!A:Q,8,FALSE),"")</f>
        <v/>
      </c>
      <c r="F965" s="93">
        <f t="shared" si="2"/>
        <v>0</v>
      </c>
      <c r="I965" s="173" t="str">
        <f>IFERROR(vlookup(A964,TSM!A:Q,2,FALSE),"")</f>
        <v/>
      </c>
      <c r="M965" s="93">
        <f t="shared" si="4"/>
        <v>0</v>
      </c>
    </row>
    <row r="966">
      <c r="B966" s="173" t="str">
        <f>IFERROR(vlookup(A966,TSM!A:Q,8,FALSE),"")</f>
        <v/>
      </c>
      <c r="F966" s="93">
        <f t="shared" si="2"/>
        <v>0</v>
      </c>
      <c r="I966" s="173" t="str">
        <f>IFERROR(vlookup(A965,TSM!A:Q,2,FALSE),"")</f>
        <v/>
      </c>
      <c r="M966" s="93">
        <f t="shared" si="4"/>
        <v>0</v>
      </c>
    </row>
    <row r="967">
      <c r="B967" s="173" t="str">
        <f>IFERROR(vlookup(A967,TSM!A:Q,8,FALSE),"")</f>
        <v/>
      </c>
      <c r="F967" s="93">
        <f t="shared" si="2"/>
        <v>0</v>
      </c>
      <c r="I967" s="173" t="str">
        <f>IFERROR(vlookup(A966,TSM!A:Q,2,FALSE),"")</f>
        <v/>
      </c>
      <c r="M967" s="93">
        <f t="shared" si="4"/>
        <v>0</v>
      </c>
    </row>
    <row r="968">
      <c r="B968" s="173" t="str">
        <f>IFERROR(vlookup(A968,TSM!A:Q,8,FALSE),"")</f>
        <v/>
      </c>
      <c r="F968" s="93">
        <f t="shared" si="2"/>
        <v>0</v>
      </c>
      <c r="I968" s="173" t="str">
        <f>IFERROR(vlookup(A967,TSM!A:Q,2,FALSE),"")</f>
        <v/>
      </c>
      <c r="M968" s="93">
        <f t="shared" si="4"/>
        <v>0</v>
      </c>
    </row>
    <row r="969">
      <c r="B969" s="173" t="str">
        <f>IFERROR(vlookup(A969,TSM!A:Q,8,FALSE),"")</f>
        <v/>
      </c>
      <c r="F969" s="93">
        <f t="shared" si="2"/>
        <v>0</v>
      </c>
      <c r="I969" s="173" t="str">
        <f>IFERROR(vlookup(A968,TSM!A:Q,2,FALSE),"")</f>
        <v/>
      </c>
      <c r="M969" s="93">
        <f t="shared" si="4"/>
        <v>0</v>
      </c>
    </row>
    <row r="970">
      <c r="B970" s="173" t="str">
        <f>IFERROR(vlookup(A970,TSM!A:Q,8,FALSE),"")</f>
        <v/>
      </c>
      <c r="F970" s="93">
        <f t="shared" si="2"/>
        <v>0</v>
      </c>
      <c r="I970" s="173" t="str">
        <f>IFERROR(vlookup(A969,TSM!A:Q,2,FALSE),"")</f>
        <v/>
      </c>
      <c r="M970" s="93">
        <f t="shared" si="4"/>
        <v>0</v>
      </c>
    </row>
    <row r="971">
      <c r="B971" s="173" t="str">
        <f>IFERROR(vlookup(A971,TSM!A:Q,8,FALSE),"")</f>
        <v/>
      </c>
      <c r="F971" s="93">
        <f t="shared" si="2"/>
        <v>0</v>
      </c>
      <c r="I971" s="173" t="str">
        <f>IFERROR(vlookup(A970,TSM!A:Q,2,FALSE),"")</f>
        <v/>
      </c>
      <c r="M971" s="93">
        <f t="shared" si="4"/>
        <v>0</v>
      </c>
    </row>
    <row r="972">
      <c r="B972" s="173" t="str">
        <f>IFERROR(vlookup(A972,TSM!A:Q,8,FALSE),"")</f>
        <v/>
      </c>
      <c r="F972" s="93">
        <f t="shared" si="2"/>
        <v>0</v>
      </c>
      <c r="I972" s="173" t="str">
        <f>IFERROR(vlookup(A971,TSM!A:Q,2,FALSE),"")</f>
        <v/>
      </c>
      <c r="M972" s="93">
        <f t="shared" si="4"/>
        <v>0</v>
      </c>
    </row>
    <row r="973">
      <c r="B973" s="173" t="str">
        <f>IFERROR(vlookup(A973,TSM!A:Q,8,FALSE),"")</f>
        <v/>
      </c>
      <c r="F973" s="93">
        <f t="shared" si="2"/>
        <v>0</v>
      </c>
      <c r="I973" s="173" t="str">
        <f>IFERROR(vlookup(A972,TSM!A:Q,2,FALSE),"")</f>
        <v/>
      </c>
      <c r="M973" s="93">
        <f t="shared" si="4"/>
        <v>0</v>
      </c>
    </row>
    <row r="974">
      <c r="B974" s="173" t="str">
        <f>IFERROR(vlookup(A974,TSM!A:Q,8,FALSE),"")</f>
        <v/>
      </c>
      <c r="F974" s="93">
        <f t="shared" si="2"/>
        <v>0</v>
      </c>
      <c r="I974" s="173" t="str">
        <f>IFERROR(vlookup(A973,TSM!A:Q,2,FALSE),"")</f>
        <v/>
      </c>
      <c r="M974" s="93">
        <f t="shared" si="4"/>
        <v>0</v>
      </c>
    </row>
    <row r="975">
      <c r="B975" s="173" t="str">
        <f>IFERROR(vlookup(A975,TSM!A:Q,8,FALSE),"")</f>
        <v/>
      </c>
      <c r="F975" s="93">
        <f t="shared" si="2"/>
        <v>0</v>
      </c>
      <c r="I975" s="173" t="str">
        <f>IFERROR(vlookup(A974,TSM!A:Q,2,FALSE),"")</f>
        <v/>
      </c>
      <c r="M975" s="93">
        <f t="shared" si="4"/>
        <v>0</v>
      </c>
    </row>
    <row r="976">
      <c r="B976" s="173" t="str">
        <f>IFERROR(vlookup(A976,TSM!A:Q,8,FALSE),"")</f>
        <v/>
      </c>
      <c r="F976" s="93">
        <f t="shared" si="2"/>
        <v>0</v>
      </c>
      <c r="I976" s="173" t="str">
        <f>IFERROR(vlookup(A975,TSM!A:Q,2,FALSE),"")</f>
        <v/>
      </c>
      <c r="M976" s="93">
        <f t="shared" si="4"/>
        <v>0</v>
      </c>
    </row>
    <row r="977">
      <c r="B977" s="173" t="str">
        <f>IFERROR(vlookup(A977,TSM!A:Q,8,FALSE),"")</f>
        <v/>
      </c>
      <c r="F977" s="93">
        <f t="shared" si="2"/>
        <v>0</v>
      </c>
      <c r="I977" s="173" t="str">
        <f>IFERROR(vlookup(A976,TSM!A:Q,2,FALSE),"")</f>
        <v/>
      </c>
      <c r="M977" s="93">
        <f t="shared" si="4"/>
        <v>0</v>
      </c>
    </row>
    <row r="978">
      <c r="B978" s="173" t="str">
        <f>IFERROR(vlookup(A978,TSM!A:Q,8,FALSE),"")</f>
        <v/>
      </c>
      <c r="F978" s="93">
        <f t="shared" si="2"/>
        <v>0</v>
      </c>
      <c r="I978" s="173" t="str">
        <f>IFERROR(vlookup(A977,TSM!A:Q,2,FALSE),"")</f>
        <v/>
      </c>
      <c r="M978" s="93">
        <f t="shared" si="4"/>
        <v>0</v>
      </c>
    </row>
    <row r="979">
      <c r="B979" s="173" t="str">
        <f>IFERROR(vlookup(A979,TSM!A:Q,8,FALSE),"")</f>
        <v/>
      </c>
      <c r="F979" s="93">
        <f t="shared" si="2"/>
        <v>0</v>
      </c>
      <c r="I979" s="173" t="str">
        <f>IFERROR(vlookup(A978,TSM!A:Q,2,FALSE),"")</f>
        <v/>
      </c>
      <c r="M979" s="93">
        <f t="shared" si="4"/>
        <v>0</v>
      </c>
    </row>
    <row r="980">
      <c r="B980" s="173" t="str">
        <f>IFERROR(vlookup(A980,TSM!A:Q,8,FALSE),"")</f>
        <v/>
      </c>
      <c r="F980" s="93">
        <f t="shared" si="2"/>
        <v>0</v>
      </c>
      <c r="I980" s="173" t="str">
        <f>IFERROR(vlookup(A979,TSM!A:Q,2,FALSE),"")</f>
        <v/>
      </c>
      <c r="M980" s="93">
        <f t="shared" si="4"/>
        <v>0</v>
      </c>
    </row>
    <row r="981">
      <c r="B981" s="173" t="str">
        <f>IFERROR(vlookup(A981,TSM!A:Q,8,FALSE),"")</f>
        <v/>
      </c>
      <c r="F981" s="93">
        <f t="shared" si="2"/>
        <v>0</v>
      </c>
      <c r="I981" s="173" t="str">
        <f>IFERROR(vlookup(A980,TSM!A:Q,2,FALSE),"")</f>
        <v/>
      </c>
      <c r="M981" s="93">
        <f t="shared" si="4"/>
        <v>0</v>
      </c>
    </row>
    <row r="982">
      <c r="B982" s="173" t="str">
        <f>IFERROR(vlookup(A982,TSM!A:Q,8,FALSE),"")</f>
        <v/>
      </c>
      <c r="F982" s="93">
        <f t="shared" si="2"/>
        <v>0</v>
      </c>
      <c r="I982" s="173" t="str">
        <f>IFERROR(vlookup(A981,TSM!A:Q,2,FALSE),"")</f>
        <v/>
      </c>
      <c r="M982" s="93">
        <f t="shared" si="4"/>
        <v>0</v>
      </c>
    </row>
    <row r="983">
      <c r="B983" s="173" t="str">
        <f>IFERROR(vlookup(A983,TSM!A:Q,8,FALSE),"")</f>
        <v/>
      </c>
      <c r="F983" s="93">
        <f t="shared" si="2"/>
        <v>0</v>
      </c>
      <c r="I983" s="173" t="str">
        <f>IFERROR(vlookup(A982,TSM!A:Q,2,FALSE),"")</f>
        <v/>
      </c>
      <c r="M983" s="93">
        <f t="shared" si="4"/>
        <v>0</v>
      </c>
    </row>
    <row r="984">
      <c r="B984" s="173" t="str">
        <f>IFERROR(vlookup(A984,TSM!A:Q,8,FALSE),"")</f>
        <v/>
      </c>
      <c r="F984" s="93">
        <f t="shared" si="2"/>
        <v>0</v>
      </c>
      <c r="I984" s="173" t="str">
        <f>IFERROR(vlookup(A983,TSM!A:Q,2,FALSE),"")</f>
        <v/>
      </c>
      <c r="M984" s="93">
        <f t="shared" si="4"/>
        <v>0</v>
      </c>
    </row>
    <row r="985">
      <c r="B985" s="173" t="str">
        <f>IFERROR(vlookup(A985,TSM!A:Q,8,FALSE),"")</f>
        <v/>
      </c>
      <c r="F985" s="93">
        <f t="shared" si="2"/>
        <v>0</v>
      </c>
      <c r="I985" s="173" t="str">
        <f>IFERROR(vlookup(A984,TSM!A:Q,2,FALSE),"")</f>
        <v/>
      </c>
      <c r="M985" s="93">
        <f t="shared" si="4"/>
        <v>0</v>
      </c>
    </row>
    <row r="986">
      <c r="B986" s="173" t="str">
        <f>IFERROR(vlookup(A986,TSM!A:Q,8,FALSE),"")</f>
        <v/>
      </c>
      <c r="F986" s="93">
        <f t="shared" si="2"/>
        <v>0</v>
      </c>
      <c r="I986" s="173" t="str">
        <f>IFERROR(vlookup(A985,TSM!A:Q,2,FALSE),"")</f>
        <v/>
      </c>
      <c r="M986" s="93">
        <f t="shared" si="4"/>
        <v>0</v>
      </c>
    </row>
    <row r="987">
      <c r="B987" s="173" t="str">
        <f>IFERROR(vlookup(A987,TSM!A:Q,8,FALSE),"")</f>
        <v/>
      </c>
      <c r="F987" s="93">
        <f t="shared" si="2"/>
        <v>0</v>
      </c>
      <c r="I987" s="173" t="str">
        <f>IFERROR(vlookup(A986,TSM!A:Q,2,FALSE),"")</f>
        <v/>
      </c>
      <c r="M987" s="93">
        <f t="shared" si="4"/>
        <v>0</v>
      </c>
    </row>
    <row r="988">
      <c r="B988" s="173" t="str">
        <f>IFERROR(vlookup(A988,TSM!A:Q,8,FALSE),"")</f>
        <v/>
      </c>
      <c r="F988" s="93">
        <f t="shared" si="2"/>
        <v>0</v>
      </c>
      <c r="I988" s="173" t="str">
        <f>IFERROR(vlookup(A987,TSM!A:Q,2,FALSE),"")</f>
        <v/>
      </c>
      <c r="M988" s="93">
        <f t="shared" si="4"/>
        <v>0</v>
      </c>
    </row>
    <row r="989">
      <c r="B989" s="173" t="str">
        <f>IFERROR(vlookup(A989,TSM!A:Q,8,FALSE),"")</f>
        <v/>
      </c>
      <c r="F989" s="93">
        <f t="shared" si="2"/>
        <v>0</v>
      </c>
      <c r="I989" s="173" t="str">
        <f>IFERROR(vlookup(A988,TSM!A:Q,2,FALSE),"")</f>
        <v/>
      </c>
      <c r="M989" s="93">
        <f t="shared" si="4"/>
        <v>0</v>
      </c>
    </row>
    <row r="990">
      <c r="B990" s="173" t="str">
        <f>IFERROR(vlookup(A990,TSM!A:Q,8,FALSE),"")</f>
        <v/>
      </c>
      <c r="F990" s="93">
        <f t="shared" si="2"/>
        <v>0</v>
      </c>
      <c r="I990" s="173" t="str">
        <f>IFERROR(vlookup(A989,TSM!A:Q,2,FALSE),"")</f>
        <v/>
      </c>
      <c r="M990" s="93">
        <f t="shared" si="4"/>
        <v>0</v>
      </c>
    </row>
    <row r="991">
      <c r="B991" s="173" t="str">
        <f>IFERROR(vlookup(A991,TSM!A:Q,8,FALSE),"")</f>
        <v/>
      </c>
      <c r="F991" s="93">
        <f t="shared" si="2"/>
        <v>0</v>
      </c>
      <c r="I991" s="173" t="str">
        <f>IFERROR(vlookup(A990,TSM!A:Q,2,FALSE),"")</f>
        <v/>
      </c>
      <c r="M991" s="93">
        <f t="shared" si="4"/>
        <v>0</v>
      </c>
    </row>
    <row r="992">
      <c r="B992" s="173" t="str">
        <f>IFERROR(vlookup(A992,TSM!A:Q,8,FALSE),"")</f>
        <v/>
      </c>
      <c r="F992" s="93">
        <f t="shared" si="2"/>
        <v>0</v>
      </c>
      <c r="I992" s="173" t="str">
        <f>IFERROR(vlookup(A991,TSM!A:Q,2,FALSE),"")</f>
        <v/>
      </c>
      <c r="M992" s="93">
        <f t="shared" si="4"/>
        <v>0</v>
      </c>
    </row>
    <row r="993">
      <c r="B993" s="173" t="str">
        <f>IFERROR(vlookup(A993,TSM!A:Q,8,FALSE),"")</f>
        <v/>
      </c>
      <c r="F993" s="93">
        <f t="shared" si="2"/>
        <v>0</v>
      </c>
      <c r="I993" s="173" t="str">
        <f>IFERROR(vlookup(A992,TSM!A:Q,2,FALSE),"")</f>
        <v/>
      </c>
      <c r="M993" s="93">
        <f t="shared" si="4"/>
        <v>0</v>
      </c>
    </row>
    <row r="994">
      <c r="B994" s="173" t="str">
        <f>IFERROR(vlookup(A994,TSM!A:Q,8,FALSE),"")</f>
        <v/>
      </c>
      <c r="F994" s="93">
        <f t="shared" si="2"/>
        <v>0</v>
      </c>
      <c r="I994" s="173" t="str">
        <f>IFERROR(vlookup(A993,TSM!A:Q,2,FALSE),"")</f>
        <v/>
      </c>
      <c r="M994" s="93">
        <f t="shared" si="4"/>
        <v>0</v>
      </c>
    </row>
    <row r="995">
      <c r="B995" s="173" t="str">
        <f>IFERROR(vlookup(A995,TSM!A:Q,8,FALSE),"")</f>
        <v/>
      </c>
      <c r="F995" s="93">
        <f t="shared" si="2"/>
        <v>0</v>
      </c>
      <c r="I995" s="173" t="str">
        <f>IFERROR(vlookup(A994,TSM!A:Q,2,FALSE),"")</f>
        <v/>
      </c>
      <c r="M995" s="93">
        <f t="shared" si="4"/>
        <v>0</v>
      </c>
    </row>
    <row r="996">
      <c r="B996" s="173" t="str">
        <f>IFERROR(vlookup(A996,TSM!A:Q,8,FALSE),"")</f>
        <v/>
      </c>
      <c r="F996" s="93">
        <f t="shared" si="2"/>
        <v>0</v>
      </c>
      <c r="I996" s="173" t="str">
        <f>IFERROR(vlookup(A995,TSM!A:Q,2,FALSE),"")</f>
        <v/>
      </c>
      <c r="M996" s="93">
        <f t="shared" si="4"/>
        <v>0</v>
      </c>
    </row>
    <row r="997">
      <c r="B997" s="173" t="str">
        <f>IFERROR(vlookup(A997,TSM!A:Q,8,FALSE),"")</f>
        <v/>
      </c>
      <c r="F997" s="93">
        <f t="shared" si="2"/>
        <v>0</v>
      </c>
      <c r="I997" s="173" t="str">
        <f>IFERROR(vlookup(A996,TSM!A:Q,2,FALSE),"")</f>
        <v/>
      </c>
      <c r="M997" s="93">
        <f t="shared" si="4"/>
        <v>0</v>
      </c>
    </row>
    <row r="998">
      <c r="B998" s="173" t="str">
        <f>IFERROR(vlookup(A998,TSM!A:Q,8,FALSE),"")</f>
        <v/>
      </c>
      <c r="F998" s="93">
        <f t="shared" si="2"/>
        <v>0</v>
      </c>
      <c r="I998" s="173" t="str">
        <f>IFERROR(vlookup(A997,TSM!A:Q,2,FALSE),"")</f>
        <v/>
      </c>
      <c r="M998" s="93">
        <f t="shared" si="4"/>
        <v>0</v>
      </c>
    </row>
    <row r="999">
      <c r="B999" s="173" t="str">
        <f>IFERROR(vlookup(A999,TSM!A:Q,8,FALSE),"")</f>
        <v/>
      </c>
      <c r="F999" s="93">
        <f t="shared" si="2"/>
        <v>0</v>
      </c>
      <c r="I999" s="173" t="str">
        <f>IFERROR(vlookup(A998,TSM!A:Q,2,FALSE),"")</f>
        <v/>
      </c>
      <c r="M999" s="93">
        <f t="shared" si="4"/>
        <v>0</v>
      </c>
    </row>
    <row r="1000">
      <c r="B1000" s="173" t="str">
        <f>IFERROR(vlookup(A1000,TSM!A:Q,8,FALSE),"")</f>
        <v/>
      </c>
      <c r="F1000" s="93">
        <f t="shared" si="2"/>
        <v>0</v>
      </c>
      <c r="I1000" s="173" t="str">
        <f>IFERROR(vlookup(A999,TSM!A:Q,2,FALSE),"")</f>
        <v/>
      </c>
      <c r="M1000" s="93">
        <f t="shared" si="4"/>
        <v>0</v>
      </c>
    </row>
    <row r="1001">
      <c r="B1001" s="173"/>
      <c r="F1001" s="93">
        <f t="shared" si="2"/>
        <v>0</v>
      </c>
      <c r="I1001" s="173" t="str">
        <f>IFERROR(vlookup(A1000,TSM!A:Q,2,FALSE),"")</f>
        <v/>
      </c>
      <c r="M1001" s="93">
        <f t="shared" si="4"/>
        <v>0</v>
      </c>
    </row>
  </sheetData>
  <mergeCells count="3">
    <mergeCell ref="A1:F1"/>
    <mergeCell ref="H1:M1"/>
    <mergeCell ref="O1:T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</cols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21.57"/>
    <col customWidth="1" hidden="1" min="3" max="3" width="12.71"/>
    <col customWidth="1" hidden="1" min="4" max="4" width="13.71"/>
    <col customWidth="1" min="5" max="15" width="21.57"/>
  </cols>
  <sheetData>
    <row r="1">
      <c r="A1" s="174" t="s">
        <v>62</v>
      </c>
      <c r="B1" s="175" t="s">
        <v>63</v>
      </c>
      <c r="C1" s="176" t="s">
        <v>64</v>
      </c>
      <c r="D1" s="176" t="s">
        <v>105</v>
      </c>
      <c r="E1" s="177" t="s">
        <v>106</v>
      </c>
      <c r="F1" s="178" t="s">
        <v>107</v>
      </c>
      <c r="G1" s="177" t="s">
        <v>108</v>
      </c>
      <c r="H1" s="178" t="s">
        <v>109</v>
      </c>
      <c r="I1" s="178" t="s">
        <v>110</v>
      </c>
      <c r="J1" s="178" t="s">
        <v>111</v>
      </c>
    </row>
    <row r="2">
      <c r="A2" s="154">
        <v>45901.37436342592</v>
      </c>
      <c r="B2" s="155">
        <v>45901.0</v>
      </c>
      <c r="C2" s="156" t="str">
        <f t="shared" ref="C2:C21" si="1">TEXT(B2,"MMMM")</f>
        <v>September</v>
      </c>
      <c r="D2" s="156" t="str">
        <f t="shared" ref="D2:D21" si="2">TEXT(B2,"YYYY")</f>
        <v>2025</v>
      </c>
      <c r="E2" s="157" t="s">
        <v>112</v>
      </c>
      <c r="F2" s="157" t="s">
        <v>113</v>
      </c>
      <c r="G2" s="157" t="s">
        <v>114</v>
      </c>
      <c r="H2" s="157" t="s">
        <v>115</v>
      </c>
      <c r="I2" s="157">
        <v>14468.0</v>
      </c>
      <c r="J2" s="179" t="s">
        <v>116</v>
      </c>
      <c r="L2" s="93" t="str">
        <f t="array" ref="L2:L9">unique(E:E)</f>
        <v>Equipment</v>
      </c>
      <c r="M2" s="60" t="s">
        <v>117</v>
      </c>
      <c r="N2" s="60" t="s">
        <v>118</v>
      </c>
    </row>
    <row r="3">
      <c r="A3" s="154">
        <v>45901.375023148146</v>
      </c>
      <c r="B3" s="155">
        <v>45901.0</v>
      </c>
      <c r="C3" s="156" t="str">
        <f t="shared" si="1"/>
        <v>September</v>
      </c>
      <c r="D3" s="156" t="str">
        <f t="shared" si="2"/>
        <v>2025</v>
      </c>
      <c r="E3" s="157" t="s">
        <v>119</v>
      </c>
      <c r="F3" s="157" t="s">
        <v>113</v>
      </c>
      <c r="G3" s="157" t="s">
        <v>114</v>
      </c>
      <c r="H3" s="157" t="s">
        <v>115</v>
      </c>
      <c r="I3" s="157">
        <v>31130.0</v>
      </c>
      <c r="J3" s="179" t="s">
        <v>120</v>
      </c>
      <c r="L3" s="93" t="s">
        <v>112</v>
      </c>
      <c r="M3" s="93">
        <f t="shared" ref="M3:M8" si="3">if($O$3="all airlines",sumif(E:E,L3,I:I), sumifs(I:I,E:E,L:L,F:F,$O$3))</f>
        <v>407082</v>
      </c>
      <c r="N3" s="93">
        <f t="shared" ref="N3:N8" si="4">IF($O$3="ALL AIRLINES",COUNTIF(E:E,L3),COUNTIFS(E:E,L3,F:F,$O$3))</f>
        <v>27</v>
      </c>
      <c r="O3" s="180" t="s">
        <v>121</v>
      </c>
    </row>
    <row r="4">
      <c r="A4" s="154">
        <v>45901.544537037036</v>
      </c>
      <c r="B4" s="155">
        <v>45901.0</v>
      </c>
      <c r="C4" s="156" t="str">
        <f t="shared" si="1"/>
        <v>September</v>
      </c>
      <c r="D4" s="156" t="str">
        <f t="shared" si="2"/>
        <v>2025</v>
      </c>
      <c r="E4" s="157" t="s">
        <v>119</v>
      </c>
      <c r="F4" s="157" t="s">
        <v>113</v>
      </c>
      <c r="G4" s="157" t="s">
        <v>122</v>
      </c>
      <c r="H4" s="157" t="s">
        <v>123</v>
      </c>
      <c r="I4" s="157">
        <v>66770.0</v>
      </c>
      <c r="J4" s="179" t="s">
        <v>124</v>
      </c>
      <c r="L4" s="93" t="s">
        <v>119</v>
      </c>
      <c r="M4" s="93">
        <f t="shared" si="3"/>
        <v>881720</v>
      </c>
      <c r="N4" s="93">
        <f t="shared" si="4"/>
        <v>30</v>
      </c>
    </row>
    <row r="5">
      <c r="A5" s="154">
        <v>45901.54461805556</v>
      </c>
      <c r="B5" s="155">
        <v>45901.0</v>
      </c>
      <c r="C5" s="156" t="str">
        <f t="shared" si="1"/>
        <v>September</v>
      </c>
      <c r="D5" s="156" t="str">
        <f t="shared" si="2"/>
        <v>2025</v>
      </c>
      <c r="E5" s="157" t="s">
        <v>125</v>
      </c>
      <c r="F5" s="157" t="s">
        <v>113</v>
      </c>
      <c r="G5" s="157" t="s">
        <v>122</v>
      </c>
      <c r="H5" s="157" t="s">
        <v>123</v>
      </c>
      <c r="I5" s="157">
        <v>15003.0</v>
      </c>
      <c r="J5" s="179" t="s">
        <v>126</v>
      </c>
      <c r="L5" s="93" t="s">
        <v>125</v>
      </c>
      <c r="M5" s="93">
        <f t="shared" si="3"/>
        <v>92571</v>
      </c>
      <c r="N5" s="93">
        <f t="shared" si="4"/>
        <v>3</v>
      </c>
    </row>
    <row r="6">
      <c r="A6" s="154">
        <v>45901.96559027778</v>
      </c>
      <c r="B6" s="155">
        <v>45901.0</v>
      </c>
      <c r="C6" s="156" t="str">
        <f t="shared" si="1"/>
        <v>September</v>
      </c>
      <c r="D6" s="156" t="str">
        <f t="shared" si="2"/>
        <v>2025</v>
      </c>
      <c r="E6" s="157" t="s">
        <v>119</v>
      </c>
      <c r="F6" s="157" t="s">
        <v>113</v>
      </c>
      <c r="G6" s="157" t="s">
        <v>122</v>
      </c>
      <c r="H6" s="157" t="s">
        <v>127</v>
      </c>
      <c r="I6" s="157">
        <v>32460.0</v>
      </c>
      <c r="J6" s="179" t="s">
        <v>128</v>
      </c>
      <c r="L6" s="93" t="s">
        <v>129</v>
      </c>
      <c r="M6" s="93">
        <f t="shared" si="3"/>
        <v>450210</v>
      </c>
      <c r="N6" s="93">
        <f t="shared" si="4"/>
        <v>11</v>
      </c>
    </row>
    <row r="7">
      <c r="A7" s="154">
        <v>45901.96690972222</v>
      </c>
      <c r="B7" s="155">
        <v>45901.0</v>
      </c>
      <c r="C7" s="156" t="str">
        <f t="shared" si="1"/>
        <v>September</v>
      </c>
      <c r="D7" s="156" t="str">
        <f t="shared" si="2"/>
        <v>2025</v>
      </c>
      <c r="E7" s="157" t="s">
        <v>129</v>
      </c>
      <c r="F7" s="157" t="s">
        <v>113</v>
      </c>
      <c r="G7" s="157" t="s">
        <v>122</v>
      </c>
      <c r="H7" s="157" t="s">
        <v>127</v>
      </c>
      <c r="I7" s="157">
        <v>45854.0</v>
      </c>
      <c r="J7" s="179" t="s">
        <v>130</v>
      </c>
      <c r="L7" s="93" t="s">
        <v>131</v>
      </c>
      <c r="M7" s="93">
        <f t="shared" si="3"/>
        <v>39930</v>
      </c>
      <c r="N7" s="93">
        <f t="shared" si="4"/>
        <v>3</v>
      </c>
    </row>
    <row r="8">
      <c r="A8" s="154">
        <v>45902.390185185184</v>
      </c>
      <c r="B8" s="155">
        <v>45902.0</v>
      </c>
      <c r="C8" s="156" t="str">
        <f t="shared" si="1"/>
        <v>September</v>
      </c>
      <c r="D8" s="156" t="str">
        <f t="shared" si="2"/>
        <v>2025</v>
      </c>
      <c r="E8" s="157" t="s">
        <v>112</v>
      </c>
      <c r="F8" s="157" t="s">
        <v>113</v>
      </c>
      <c r="G8" s="157" t="s">
        <v>114</v>
      </c>
      <c r="H8" s="157" t="s">
        <v>132</v>
      </c>
      <c r="I8" s="157">
        <v>11953.0</v>
      </c>
      <c r="J8" s="179" t="s">
        <v>133</v>
      </c>
      <c r="L8" s="93" t="s">
        <v>134</v>
      </c>
      <c r="M8" s="93">
        <f t="shared" si="3"/>
        <v>415447</v>
      </c>
      <c r="N8" s="93">
        <f t="shared" si="4"/>
        <v>10</v>
      </c>
    </row>
    <row r="9">
      <c r="A9" s="154">
        <v>45902.39240740741</v>
      </c>
      <c r="B9" s="155">
        <v>45902.0</v>
      </c>
      <c r="C9" s="156" t="str">
        <f t="shared" si="1"/>
        <v>September</v>
      </c>
      <c r="D9" s="156" t="str">
        <f t="shared" si="2"/>
        <v>2025</v>
      </c>
      <c r="E9" s="157" t="s">
        <v>119</v>
      </c>
      <c r="F9" s="157" t="s">
        <v>113</v>
      </c>
      <c r="G9" s="157" t="s">
        <v>114</v>
      </c>
      <c r="H9" s="157" t="s">
        <v>132</v>
      </c>
      <c r="I9" s="157">
        <v>32550.0</v>
      </c>
      <c r="J9" s="179" t="s">
        <v>135</v>
      </c>
      <c r="L9" s="93"/>
      <c r="M9" s="93">
        <f t="shared" ref="M9:N9" si="5">SUM(M3:M8)</f>
        <v>2286960</v>
      </c>
      <c r="N9" s="93">
        <f t="shared" si="5"/>
        <v>84</v>
      </c>
    </row>
    <row r="10">
      <c r="A10" s="154">
        <v>45902.60057870371</v>
      </c>
      <c r="B10" s="155">
        <v>45902.0</v>
      </c>
      <c r="C10" s="156" t="str">
        <f t="shared" si="1"/>
        <v>September</v>
      </c>
      <c r="D10" s="156" t="str">
        <f t="shared" si="2"/>
        <v>2025</v>
      </c>
      <c r="E10" s="157" t="s">
        <v>129</v>
      </c>
      <c r="F10" s="157" t="s">
        <v>136</v>
      </c>
      <c r="G10" s="157" t="s">
        <v>122</v>
      </c>
      <c r="H10" s="157" t="s">
        <v>137</v>
      </c>
      <c r="I10" s="157">
        <v>48608.0</v>
      </c>
      <c r="J10" s="179" t="s">
        <v>138</v>
      </c>
    </row>
    <row r="11">
      <c r="A11" s="154">
        <v>45902.600902777776</v>
      </c>
      <c r="B11" s="155">
        <v>45902.0</v>
      </c>
      <c r="C11" s="156" t="str">
        <f t="shared" si="1"/>
        <v>September</v>
      </c>
      <c r="D11" s="156" t="str">
        <f t="shared" si="2"/>
        <v>2025</v>
      </c>
      <c r="E11" s="157" t="s">
        <v>112</v>
      </c>
      <c r="F11" s="157" t="s">
        <v>136</v>
      </c>
      <c r="G11" s="157" t="s">
        <v>122</v>
      </c>
      <c r="H11" s="157" t="s">
        <v>139</v>
      </c>
      <c r="I11" s="157">
        <v>6823.0</v>
      </c>
      <c r="J11" s="179" t="s">
        <v>140</v>
      </c>
    </row>
    <row r="12">
      <c r="A12" s="154">
        <v>45902.602060185185</v>
      </c>
      <c r="B12" s="155">
        <v>45902.0</v>
      </c>
      <c r="C12" s="156" t="str">
        <f t="shared" si="1"/>
        <v>September</v>
      </c>
      <c r="D12" s="156" t="str">
        <f t="shared" si="2"/>
        <v>2025</v>
      </c>
      <c r="E12" s="157" t="s">
        <v>112</v>
      </c>
      <c r="F12" s="157" t="s">
        <v>136</v>
      </c>
      <c r="G12" s="157" t="s">
        <v>122</v>
      </c>
      <c r="H12" s="157" t="s">
        <v>141</v>
      </c>
      <c r="I12" s="157">
        <v>4407.0</v>
      </c>
      <c r="J12" s="179" t="s">
        <v>142</v>
      </c>
    </row>
    <row r="13">
      <c r="A13" s="154">
        <v>45902.685902777775</v>
      </c>
      <c r="B13" s="155">
        <v>45902.0</v>
      </c>
      <c r="C13" s="156" t="str">
        <f t="shared" si="1"/>
        <v>September</v>
      </c>
      <c r="D13" s="156" t="str">
        <f t="shared" si="2"/>
        <v>2025</v>
      </c>
      <c r="E13" s="157" t="s">
        <v>112</v>
      </c>
      <c r="F13" s="157" t="s">
        <v>136</v>
      </c>
      <c r="G13" s="157" t="s">
        <v>122</v>
      </c>
      <c r="H13" s="157" t="s">
        <v>143</v>
      </c>
      <c r="I13" s="157">
        <v>3466.0</v>
      </c>
      <c r="J13" s="179" t="s">
        <v>144</v>
      </c>
    </row>
    <row r="14">
      <c r="A14" s="154">
        <v>45903.372697962965</v>
      </c>
      <c r="B14" s="155">
        <v>45903.0</v>
      </c>
      <c r="C14" s="156" t="str">
        <f t="shared" si="1"/>
        <v>September</v>
      </c>
      <c r="D14" s="156" t="str">
        <f t="shared" si="2"/>
        <v>2025</v>
      </c>
      <c r="E14" s="157" t="s">
        <v>112</v>
      </c>
      <c r="F14" s="157" t="s">
        <v>113</v>
      </c>
      <c r="G14" s="157" t="s">
        <v>114</v>
      </c>
      <c r="H14" s="157" t="s">
        <v>145</v>
      </c>
      <c r="I14" s="157">
        <v>30860.0</v>
      </c>
      <c r="J14" s="179" t="s">
        <v>146</v>
      </c>
    </row>
    <row r="15">
      <c r="A15" s="154">
        <v>45903.43818298611</v>
      </c>
      <c r="B15" s="155">
        <v>45903.0</v>
      </c>
      <c r="C15" s="156" t="str">
        <f t="shared" si="1"/>
        <v>September</v>
      </c>
      <c r="D15" s="156" t="str">
        <f t="shared" si="2"/>
        <v>2025</v>
      </c>
      <c r="E15" s="157" t="s">
        <v>119</v>
      </c>
      <c r="F15" s="157" t="s">
        <v>113</v>
      </c>
      <c r="G15" s="157" t="s">
        <v>114</v>
      </c>
      <c r="H15" s="157" t="s">
        <v>145</v>
      </c>
      <c r="I15" s="157">
        <v>15920.0</v>
      </c>
      <c r="J15" s="179" t="s">
        <v>147</v>
      </c>
    </row>
    <row r="16">
      <c r="A16" s="154">
        <v>45903.59340388889</v>
      </c>
      <c r="B16" s="155">
        <v>45903.0</v>
      </c>
      <c r="C16" s="156" t="str">
        <f t="shared" si="1"/>
        <v>September</v>
      </c>
      <c r="D16" s="156" t="str">
        <f t="shared" si="2"/>
        <v>2025</v>
      </c>
      <c r="E16" s="157" t="s">
        <v>119</v>
      </c>
      <c r="F16" s="157" t="s">
        <v>113</v>
      </c>
      <c r="G16" s="157" t="s">
        <v>114</v>
      </c>
      <c r="H16" s="157" t="s">
        <v>148</v>
      </c>
      <c r="I16" s="157">
        <v>44240.0</v>
      </c>
      <c r="J16" s="179" t="s">
        <v>149</v>
      </c>
    </row>
    <row r="17">
      <c r="A17" s="154">
        <v>45904.3680618287</v>
      </c>
      <c r="B17" s="155">
        <v>45904.0</v>
      </c>
      <c r="C17" s="156" t="str">
        <f t="shared" si="1"/>
        <v>September</v>
      </c>
      <c r="D17" s="156" t="str">
        <f t="shared" si="2"/>
        <v>2025</v>
      </c>
      <c r="E17" s="157" t="s">
        <v>112</v>
      </c>
      <c r="F17" s="157" t="s">
        <v>113</v>
      </c>
      <c r="G17" s="157" t="s">
        <v>114</v>
      </c>
      <c r="H17" s="157" t="s">
        <v>150</v>
      </c>
      <c r="I17" s="157">
        <v>13281.0</v>
      </c>
      <c r="J17" s="179" t="s">
        <v>151</v>
      </c>
    </row>
    <row r="18">
      <c r="A18" s="154">
        <v>45904.369088125</v>
      </c>
      <c r="B18" s="155">
        <v>45904.0</v>
      </c>
      <c r="C18" s="156" t="str">
        <f t="shared" si="1"/>
        <v>September</v>
      </c>
      <c r="D18" s="156" t="str">
        <f t="shared" si="2"/>
        <v>2025</v>
      </c>
      <c r="E18" s="157" t="s">
        <v>119</v>
      </c>
      <c r="F18" s="157" t="s">
        <v>113</v>
      </c>
      <c r="G18" s="157" t="s">
        <v>114</v>
      </c>
      <c r="H18" s="157" t="s">
        <v>150</v>
      </c>
      <c r="I18" s="157">
        <v>32030.0</v>
      </c>
      <c r="J18" s="179" t="s">
        <v>152</v>
      </c>
    </row>
    <row r="19">
      <c r="A19" s="154">
        <v>45904.6056875463</v>
      </c>
      <c r="B19" s="155">
        <v>45904.0</v>
      </c>
      <c r="C19" s="156" t="str">
        <f t="shared" si="1"/>
        <v>September</v>
      </c>
      <c r="D19" s="156" t="str">
        <f t="shared" si="2"/>
        <v>2025</v>
      </c>
      <c r="E19" s="157" t="s">
        <v>119</v>
      </c>
      <c r="F19" s="157" t="s">
        <v>113</v>
      </c>
      <c r="G19" s="157" t="s">
        <v>122</v>
      </c>
      <c r="H19" s="157" t="s">
        <v>153</v>
      </c>
      <c r="I19" s="157">
        <v>28290.0</v>
      </c>
      <c r="J19" s="179" t="s">
        <v>154</v>
      </c>
    </row>
    <row r="20">
      <c r="A20" s="154">
        <v>45905.36866898148</v>
      </c>
      <c r="B20" s="155">
        <v>45905.0</v>
      </c>
      <c r="C20" s="156" t="str">
        <f t="shared" si="1"/>
        <v>September</v>
      </c>
      <c r="D20" s="156" t="str">
        <f t="shared" si="2"/>
        <v>2025</v>
      </c>
      <c r="E20" s="157" t="s">
        <v>112</v>
      </c>
      <c r="F20" s="157" t="s">
        <v>113</v>
      </c>
      <c r="G20" s="157" t="s">
        <v>114</v>
      </c>
      <c r="H20" s="157" t="s">
        <v>155</v>
      </c>
      <c r="I20" s="157">
        <v>13088.0</v>
      </c>
      <c r="J20" s="179" t="s">
        <v>156</v>
      </c>
    </row>
    <row r="21">
      <c r="A21" s="154">
        <v>45905.36997685185</v>
      </c>
      <c r="B21" s="155">
        <v>45905.0</v>
      </c>
      <c r="C21" s="156" t="str">
        <f t="shared" si="1"/>
        <v>September</v>
      </c>
      <c r="D21" s="156" t="str">
        <f t="shared" si="2"/>
        <v>2025</v>
      </c>
      <c r="E21" s="157" t="s">
        <v>119</v>
      </c>
      <c r="F21" s="157" t="s">
        <v>113</v>
      </c>
      <c r="G21" s="157" t="s">
        <v>114</v>
      </c>
      <c r="H21" s="157" t="s">
        <v>155</v>
      </c>
      <c r="I21" s="157">
        <v>30100.0</v>
      </c>
      <c r="J21" s="179" t="s">
        <v>157</v>
      </c>
    </row>
    <row r="22">
      <c r="A22" s="154">
        <v>45905.96215585648</v>
      </c>
      <c r="B22" s="155">
        <v>45905.0</v>
      </c>
      <c r="E22" s="157" t="s">
        <v>119</v>
      </c>
      <c r="F22" s="157" t="s">
        <v>113</v>
      </c>
      <c r="G22" s="157" t="s">
        <v>114</v>
      </c>
      <c r="H22" s="157" t="s">
        <v>158</v>
      </c>
      <c r="I22" s="157">
        <v>32290.0</v>
      </c>
      <c r="J22" s="179" t="s">
        <v>159</v>
      </c>
    </row>
    <row r="23">
      <c r="A23" s="154">
        <v>45905.97950862268</v>
      </c>
      <c r="B23" s="155">
        <v>45905.0</v>
      </c>
      <c r="E23" s="157" t="s">
        <v>112</v>
      </c>
      <c r="F23" s="157" t="s">
        <v>113</v>
      </c>
      <c r="G23" s="157" t="s">
        <v>114</v>
      </c>
      <c r="H23" s="157" t="s">
        <v>158</v>
      </c>
      <c r="I23" s="157">
        <v>30121.0</v>
      </c>
      <c r="J23" s="179" t="s">
        <v>160</v>
      </c>
    </row>
    <row r="24">
      <c r="A24" s="154">
        <v>45906.582772615744</v>
      </c>
      <c r="B24" s="155">
        <v>45906.0</v>
      </c>
      <c r="E24" s="157" t="s">
        <v>112</v>
      </c>
      <c r="F24" s="157" t="s">
        <v>113</v>
      </c>
      <c r="G24" s="157" t="s">
        <v>114</v>
      </c>
      <c r="H24" s="157" t="s">
        <v>115</v>
      </c>
      <c r="I24" s="157">
        <v>18903.0</v>
      </c>
      <c r="J24" s="179" t="s">
        <v>161</v>
      </c>
    </row>
    <row r="25">
      <c r="A25" s="154">
        <v>45906.58367952546</v>
      </c>
      <c r="B25" s="155">
        <v>45906.0</v>
      </c>
      <c r="E25" s="157" t="s">
        <v>119</v>
      </c>
      <c r="F25" s="157" t="s">
        <v>113</v>
      </c>
      <c r="G25" s="157" t="s">
        <v>114</v>
      </c>
      <c r="H25" s="157" t="s">
        <v>115</v>
      </c>
      <c r="I25" s="157">
        <v>26080.0</v>
      </c>
      <c r="J25" s="179" t="s">
        <v>162</v>
      </c>
    </row>
    <row r="26">
      <c r="A26" s="154">
        <v>45907.657229756944</v>
      </c>
      <c r="B26" s="155">
        <v>45907.0</v>
      </c>
      <c r="E26" s="157" t="s">
        <v>112</v>
      </c>
      <c r="F26" s="157" t="s">
        <v>113</v>
      </c>
      <c r="G26" s="157" t="s">
        <v>114</v>
      </c>
      <c r="H26" s="157" t="s">
        <v>163</v>
      </c>
      <c r="I26" s="157">
        <v>13958.0</v>
      </c>
      <c r="J26" s="179" t="s">
        <v>164</v>
      </c>
    </row>
    <row r="27">
      <c r="A27" s="154">
        <v>45907.65964590278</v>
      </c>
      <c r="B27" s="155">
        <v>45907.0</v>
      </c>
      <c r="E27" s="157" t="s">
        <v>119</v>
      </c>
      <c r="F27" s="157" t="s">
        <v>113</v>
      </c>
      <c r="G27" s="157" t="s">
        <v>114</v>
      </c>
      <c r="H27" s="157" t="s">
        <v>163</v>
      </c>
      <c r="I27" s="157">
        <v>31030.0</v>
      </c>
      <c r="J27" s="179" t="s">
        <v>165</v>
      </c>
    </row>
    <row r="28">
      <c r="A28" s="154">
        <v>45907.66357853009</v>
      </c>
      <c r="B28" s="155">
        <v>45907.0</v>
      </c>
      <c r="E28" s="157" t="s">
        <v>119</v>
      </c>
      <c r="F28" s="157" t="s">
        <v>113</v>
      </c>
      <c r="G28" s="157" t="s">
        <v>114</v>
      </c>
      <c r="H28" s="157" t="s">
        <v>166</v>
      </c>
      <c r="I28" s="157">
        <v>31300.0</v>
      </c>
      <c r="J28" s="179" t="s">
        <v>167</v>
      </c>
    </row>
    <row r="29">
      <c r="A29" s="154">
        <v>45907.66463434028</v>
      </c>
      <c r="B29" s="155">
        <v>45907.0</v>
      </c>
      <c r="E29" s="157" t="s">
        <v>112</v>
      </c>
      <c r="F29" s="157" t="s">
        <v>113</v>
      </c>
      <c r="G29" s="157" t="s">
        <v>114</v>
      </c>
      <c r="H29" s="157" t="s">
        <v>166</v>
      </c>
      <c r="I29" s="157">
        <v>11330.0</v>
      </c>
      <c r="J29" s="179" t="s">
        <v>168</v>
      </c>
    </row>
    <row r="30">
      <c r="A30" s="154">
        <v>45908.44104510416</v>
      </c>
      <c r="B30" s="155">
        <v>45908.0</v>
      </c>
      <c r="E30" s="157" t="s">
        <v>112</v>
      </c>
      <c r="F30" s="157" t="s">
        <v>113</v>
      </c>
      <c r="G30" s="157" t="s">
        <v>114</v>
      </c>
      <c r="H30" s="157" t="s">
        <v>169</v>
      </c>
      <c r="I30" s="157">
        <v>15240.0</v>
      </c>
      <c r="J30" s="179" t="s">
        <v>170</v>
      </c>
    </row>
    <row r="31">
      <c r="A31" s="154">
        <v>45908.4424655787</v>
      </c>
      <c r="B31" s="155">
        <v>45908.0</v>
      </c>
      <c r="E31" s="157" t="s">
        <v>119</v>
      </c>
      <c r="F31" s="157" t="s">
        <v>113</v>
      </c>
      <c r="G31" s="157" t="s">
        <v>114</v>
      </c>
      <c r="H31" s="157" t="s">
        <v>169</v>
      </c>
      <c r="I31" s="157">
        <v>31430.0</v>
      </c>
      <c r="J31" s="179" t="s">
        <v>171</v>
      </c>
    </row>
    <row r="32">
      <c r="A32" s="154">
        <v>45908.54666512732</v>
      </c>
      <c r="B32" s="155">
        <v>45908.0</v>
      </c>
      <c r="E32" s="157" t="s">
        <v>125</v>
      </c>
      <c r="F32" s="157" t="s">
        <v>113</v>
      </c>
      <c r="G32" s="157" t="s">
        <v>122</v>
      </c>
      <c r="H32" s="157" t="s">
        <v>172</v>
      </c>
      <c r="I32" s="157">
        <v>38068.0</v>
      </c>
      <c r="J32" s="179" t="s">
        <v>173</v>
      </c>
    </row>
    <row r="33">
      <c r="A33" s="154">
        <v>45908.54808385417</v>
      </c>
      <c r="B33" s="155">
        <v>45908.0</v>
      </c>
      <c r="E33" s="157" t="s">
        <v>129</v>
      </c>
      <c r="F33" s="157" t="s">
        <v>113</v>
      </c>
      <c r="G33" s="157" t="s">
        <v>122</v>
      </c>
      <c r="H33" s="157" t="s">
        <v>172</v>
      </c>
      <c r="I33" s="157">
        <v>42391.0</v>
      </c>
      <c r="J33" s="179" t="s">
        <v>174</v>
      </c>
    </row>
    <row r="34">
      <c r="A34" s="154">
        <v>45908.66180873843</v>
      </c>
      <c r="B34" s="155">
        <v>45908.0</v>
      </c>
      <c r="E34" s="157" t="s">
        <v>112</v>
      </c>
      <c r="F34" s="157" t="s">
        <v>113</v>
      </c>
      <c r="G34" s="157" t="s">
        <v>114</v>
      </c>
      <c r="H34" s="157" t="s">
        <v>132</v>
      </c>
      <c r="I34" s="157">
        <v>13347.0</v>
      </c>
      <c r="J34" s="179" t="s">
        <v>175</v>
      </c>
    </row>
    <row r="35">
      <c r="A35" s="154">
        <v>45908.663795879635</v>
      </c>
      <c r="B35" s="155">
        <v>45908.0</v>
      </c>
      <c r="E35" s="157" t="s">
        <v>129</v>
      </c>
      <c r="F35" s="157" t="s">
        <v>113</v>
      </c>
      <c r="G35" s="157" t="s">
        <v>114</v>
      </c>
      <c r="H35" s="157" t="s">
        <v>132</v>
      </c>
      <c r="I35" s="157">
        <v>30167.0</v>
      </c>
      <c r="J35" s="179" t="s">
        <v>176</v>
      </c>
    </row>
    <row r="36">
      <c r="A36" s="154">
        <v>45909.256778298615</v>
      </c>
      <c r="B36" s="155">
        <v>45908.0</v>
      </c>
      <c r="E36" s="157" t="s">
        <v>129</v>
      </c>
      <c r="F36" s="157" t="s">
        <v>113</v>
      </c>
      <c r="G36" s="157" t="s">
        <v>122</v>
      </c>
      <c r="H36" s="157" t="s">
        <v>177</v>
      </c>
      <c r="I36" s="157">
        <v>36339.0</v>
      </c>
      <c r="J36" s="179" t="s">
        <v>178</v>
      </c>
    </row>
    <row r="37">
      <c r="A37" s="154">
        <v>45909.319659560184</v>
      </c>
      <c r="B37" s="155">
        <v>45908.0</v>
      </c>
      <c r="E37" s="157" t="s">
        <v>125</v>
      </c>
      <c r="F37" s="157" t="s">
        <v>113</v>
      </c>
      <c r="G37" s="157" t="s">
        <v>122</v>
      </c>
      <c r="H37" s="157" t="s">
        <v>177</v>
      </c>
      <c r="I37" s="157">
        <v>39500.0</v>
      </c>
      <c r="J37" s="179" t="s">
        <v>179</v>
      </c>
    </row>
    <row r="38">
      <c r="A38" s="154">
        <v>45909.32100398148</v>
      </c>
      <c r="B38" s="155">
        <v>45909.0</v>
      </c>
      <c r="E38" s="157" t="s">
        <v>131</v>
      </c>
      <c r="F38" s="157" t="s">
        <v>11</v>
      </c>
      <c r="G38" s="157" t="s">
        <v>122</v>
      </c>
      <c r="H38" s="157" t="s">
        <v>180</v>
      </c>
      <c r="I38" s="157">
        <v>17877.0</v>
      </c>
      <c r="J38" s="179" t="s">
        <v>181</v>
      </c>
    </row>
    <row r="39">
      <c r="A39" s="154">
        <v>45909.65638184028</v>
      </c>
      <c r="B39" s="155">
        <v>45909.0</v>
      </c>
      <c r="E39" s="157" t="s">
        <v>134</v>
      </c>
      <c r="F39" s="157" t="s">
        <v>11</v>
      </c>
      <c r="G39" s="157" t="s">
        <v>114</v>
      </c>
      <c r="H39" s="157" t="s">
        <v>182</v>
      </c>
      <c r="I39" s="157">
        <v>52718.0</v>
      </c>
      <c r="J39" s="179" t="s">
        <v>183</v>
      </c>
    </row>
    <row r="40">
      <c r="A40" s="154">
        <v>45909.65926273148</v>
      </c>
      <c r="B40" s="155">
        <v>45909.0</v>
      </c>
      <c r="E40" s="157" t="s">
        <v>112</v>
      </c>
      <c r="F40" s="157" t="s">
        <v>136</v>
      </c>
      <c r="G40" s="157" t="s">
        <v>122</v>
      </c>
      <c r="H40" s="157" t="s">
        <v>141</v>
      </c>
      <c r="I40" s="157">
        <v>4908.0</v>
      </c>
      <c r="J40" s="179" t="s">
        <v>184</v>
      </c>
    </row>
    <row r="41">
      <c r="A41" s="154">
        <v>45909.66024949074</v>
      </c>
      <c r="B41" s="155">
        <v>45909.0</v>
      </c>
      <c r="E41" s="157" t="s">
        <v>112</v>
      </c>
      <c r="F41" s="157" t="s">
        <v>136</v>
      </c>
      <c r="G41" s="157" t="s">
        <v>122</v>
      </c>
      <c r="H41" s="157" t="s">
        <v>139</v>
      </c>
      <c r="I41" s="157">
        <v>4298.0</v>
      </c>
      <c r="J41" s="179" t="s">
        <v>185</v>
      </c>
    </row>
    <row r="42">
      <c r="A42" s="154">
        <v>45909.66173288194</v>
      </c>
      <c r="B42" s="155">
        <v>45909.0</v>
      </c>
      <c r="E42" s="157" t="s">
        <v>112</v>
      </c>
      <c r="F42" s="157" t="s">
        <v>136</v>
      </c>
      <c r="G42" s="157" t="s">
        <v>122</v>
      </c>
      <c r="H42" s="157" t="s">
        <v>186</v>
      </c>
      <c r="I42" s="157">
        <v>42279.0</v>
      </c>
      <c r="J42" s="179" t="s">
        <v>187</v>
      </c>
    </row>
    <row r="43">
      <c r="A43" s="154">
        <v>45909.66253642361</v>
      </c>
      <c r="B43" s="155">
        <v>45909.0</v>
      </c>
      <c r="E43" s="157" t="s">
        <v>112</v>
      </c>
      <c r="F43" s="157" t="s">
        <v>136</v>
      </c>
      <c r="G43" s="157" t="s">
        <v>122</v>
      </c>
      <c r="H43" s="157" t="s">
        <v>186</v>
      </c>
      <c r="I43" s="157">
        <v>1346.0</v>
      </c>
      <c r="J43" s="179" t="s">
        <v>188</v>
      </c>
    </row>
    <row r="44">
      <c r="A44" s="154">
        <v>45909.89688409722</v>
      </c>
      <c r="B44" s="155">
        <v>45909.0</v>
      </c>
      <c r="E44" s="157" t="s">
        <v>131</v>
      </c>
      <c r="F44" s="157" t="s">
        <v>136</v>
      </c>
      <c r="G44" s="157" t="s">
        <v>122</v>
      </c>
      <c r="H44" s="157" t="s">
        <v>143</v>
      </c>
      <c r="I44" s="157">
        <v>4516.0</v>
      </c>
      <c r="J44" s="179" t="s">
        <v>189</v>
      </c>
    </row>
    <row r="45">
      <c r="A45" s="154">
        <v>45910.282009305556</v>
      </c>
      <c r="B45" s="155">
        <v>45909.0</v>
      </c>
      <c r="E45" s="157" t="s">
        <v>131</v>
      </c>
      <c r="F45" s="157" t="s">
        <v>11</v>
      </c>
      <c r="G45" s="157" t="s">
        <v>114</v>
      </c>
      <c r="H45" s="157" t="s">
        <v>190</v>
      </c>
      <c r="I45" s="157">
        <v>17537.0</v>
      </c>
      <c r="J45" s="179" t="s">
        <v>191</v>
      </c>
    </row>
    <row r="46">
      <c r="A46" s="154">
        <v>45910.28340460648</v>
      </c>
      <c r="B46" s="155">
        <v>45909.0</v>
      </c>
      <c r="E46" s="157" t="s">
        <v>134</v>
      </c>
      <c r="F46" s="157" t="s">
        <v>11</v>
      </c>
      <c r="G46" s="157" t="s">
        <v>122</v>
      </c>
      <c r="H46" s="157" t="s">
        <v>192</v>
      </c>
      <c r="I46" s="157">
        <v>54194.0</v>
      </c>
      <c r="J46" s="179" t="s">
        <v>193</v>
      </c>
    </row>
    <row r="47">
      <c r="A47" s="154">
        <v>45910.284352187504</v>
      </c>
      <c r="B47" s="155">
        <v>45909.0</v>
      </c>
      <c r="E47" s="157" t="s">
        <v>129</v>
      </c>
      <c r="F47" s="157" t="s">
        <v>11</v>
      </c>
      <c r="G47" s="157" t="s">
        <v>122</v>
      </c>
      <c r="H47" s="157" t="s">
        <v>192</v>
      </c>
      <c r="I47" s="157">
        <v>28075.0</v>
      </c>
      <c r="J47" s="179" t="s">
        <v>194</v>
      </c>
    </row>
    <row r="48">
      <c r="A48" s="154">
        <v>45910.33867795139</v>
      </c>
      <c r="B48" s="155">
        <v>45910.0</v>
      </c>
      <c r="E48" s="157" t="s">
        <v>129</v>
      </c>
      <c r="F48" s="157" t="s">
        <v>11</v>
      </c>
      <c r="G48" s="157" t="s">
        <v>122</v>
      </c>
      <c r="H48" s="157" t="s">
        <v>195</v>
      </c>
      <c r="I48" s="157">
        <v>44773.0</v>
      </c>
      <c r="J48" s="179" t="s">
        <v>196</v>
      </c>
    </row>
    <row r="49">
      <c r="A49" s="154">
        <v>45910.64094912037</v>
      </c>
      <c r="B49" s="155">
        <v>45910.0</v>
      </c>
      <c r="E49" s="157" t="s">
        <v>134</v>
      </c>
      <c r="F49" s="157" t="s">
        <v>11</v>
      </c>
      <c r="G49" s="157" t="s">
        <v>114</v>
      </c>
      <c r="H49" s="157" t="s">
        <v>197</v>
      </c>
      <c r="I49" s="157">
        <v>51607.0</v>
      </c>
      <c r="J49" s="179" t="s">
        <v>198</v>
      </c>
    </row>
    <row r="50">
      <c r="A50" s="154">
        <v>45910.85243034722</v>
      </c>
      <c r="B50" s="155">
        <v>45910.0</v>
      </c>
      <c r="E50" s="157" t="s">
        <v>112</v>
      </c>
      <c r="F50" s="157" t="s">
        <v>199</v>
      </c>
      <c r="G50" s="157" t="s">
        <v>114</v>
      </c>
      <c r="H50" s="157" t="s">
        <v>200</v>
      </c>
      <c r="I50" s="157">
        <v>26997.0</v>
      </c>
      <c r="J50" s="179" t="s">
        <v>201</v>
      </c>
    </row>
    <row r="51">
      <c r="A51" s="154">
        <v>45911.076876666666</v>
      </c>
      <c r="B51" s="155">
        <v>45910.0</v>
      </c>
      <c r="E51" s="157" t="s">
        <v>134</v>
      </c>
      <c r="F51" s="157" t="s">
        <v>199</v>
      </c>
      <c r="G51" s="157" t="s">
        <v>114</v>
      </c>
      <c r="H51" s="157" t="s">
        <v>200</v>
      </c>
      <c r="I51" s="157">
        <v>33579.0</v>
      </c>
      <c r="J51" s="179" t="s">
        <v>202</v>
      </c>
    </row>
    <row r="52">
      <c r="A52" s="154">
        <v>45911.07846211806</v>
      </c>
      <c r="B52" s="155">
        <v>45910.0</v>
      </c>
      <c r="E52" s="157" t="s">
        <v>119</v>
      </c>
      <c r="F52" s="157" t="s">
        <v>11</v>
      </c>
      <c r="G52" s="157" t="s">
        <v>122</v>
      </c>
      <c r="H52" s="157" t="s">
        <v>195</v>
      </c>
      <c r="I52" s="157">
        <v>10330.0</v>
      </c>
      <c r="J52" s="179" t="s">
        <v>203</v>
      </c>
    </row>
    <row r="53">
      <c r="A53" s="154">
        <v>45911.07953715278</v>
      </c>
      <c r="B53" s="155">
        <v>45910.0</v>
      </c>
      <c r="E53" s="157" t="s">
        <v>129</v>
      </c>
      <c r="F53" s="157" t="s">
        <v>11</v>
      </c>
      <c r="G53" s="157" t="s">
        <v>122</v>
      </c>
      <c r="H53" s="157" t="s">
        <v>195</v>
      </c>
      <c r="I53" s="157">
        <v>32513.0</v>
      </c>
      <c r="J53" s="179" t="s">
        <v>204</v>
      </c>
    </row>
    <row r="54">
      <c r="A54" s="154">
        <v>45911.33110271991</v>
      </c>
      <c r="B54" s="155">
        <v>45910.0</v>
      </c>
      <c r="E54" s="157" t="s">
        <v>119</v>
      </c>
      <c r="F54" s="157" t="s">
        <v>11</v>
      </c>
      <c r="G54" s="157" t="s">
        <v>114</v>
      </c>
      <c r="H54" s="157" t="s">
        <v>205</v>
      </c>
      <c r="I54" s="157">
        <v>17590.0</v>
      </c>
      <c r="J54" s="179" t="s">
        <v>206</v>
      </c>
    </row>
    <row r="55">
      <c r="A55" s="154">
        <v>45911.40079363426</v>
      </c>
      <c r="B55" s="155">
        <v>45911.0</v>
      </c>
      <c r="E55" s="157" t="s">
        <v>134</v>
      </c>
      <c r="F55" s="157" t="s">
        <v>207</v>
      </c>
      <c r="G55" s="157" t="s">
        <v>114</v>
      </c>
      <c r="H55" s="157" t="s">
        <v>208</v>
      </c>
      <c r="I55" s="157">
        <v>41772.0</v>
      </c>
      <c r="J55" s="179" t="s">
        <v>209</v>
      </c>
    </row>
    <row r="56">
      <c r="A56" s="154">
        <v>45911.6916202662</v>
      </c>
      <c r="B56" s="155">
        <v>45911.0</v>
      </c>
      <c r="E56" s="157" t="s">
        <v>129</v>
      </c>
      <c r="F56" s="157" t="s">
        <v>11</v>
      </c>
      <c r="G56" s="157" t="s">
        <v>114</v>
      </c>
      <c r="H56" s="157" t="s">
        <v>210</v>
      </c>
      <c r="I56" s="157">
        <v>43416.0</v>
      </c>
      <c r="J56" s="179" t="s">
        <v>211</v>
      </c>
    </row>
    <row r="57">
      <c r="A57" s="154">
        <v>45911.937715520835</v>
      </c>
      <c r="B57" s="155">
        <v>45911.0</v>
      </c>
      <c r="E57" s="157" t="s">
        <v>119</v>
      </c>
      <c r="F57" s="157" t="s">
        <v>11</v>
      </c>
      <c r="G57" s="157" t="s">
        <v>114</v>
      </c>
      <c r="H57" s="157" t="s">
        <v>212</v>
      </c>
      <c r="I57" s="157">
        <v>40780.0</v>
      </c>
      <c r="J57" s="179" t="s">
        <v>213</v>
      </c>
    </row>
    <row r="58">
      <c r="A58" s="154">
        <v>45912.61199306713</v>
      </c>
      <c r="B58" s="155">
        <v>45912.0</v>
      </c>
      <c r="E58" s="157" t="s">
        <v>112</v>
      </c>
      <c r="F58" s="157" t="s">
        <v>113</v>
      </c>
      <c r="G58" s="157" t="s">
        <v>214</v>
      </c>
      <c r="H58" s="157" t="s">
        <v>215</v>
      </c>
      <c r="I58" s="157">
        <v>14319.0</v>
      </c>
      <c r="J58" s="179" t="s">
        <v>216</v>
      </c>
    </row>
    <row r="59">
      <c r="A59" s="154">
        <v>45912.61346766204</v>
      </c>
      <c r="B59" s="155">
        <v>45912.0</v>
      </c>
      <c r="E59" s="157" t="s">
        <v>134</v>
      </c>
      <c r="F59" s="157" t="s">
        <v>207</v>
      </c>
      <c r="G59" s="157" t="s">
        <v>114</v>
      </c>
      <c r="H59" s="157" t="s">
        <v>217</v>
      </c>
      <c r="I59" s="157">
        <v>39240.0</v>
      </c>
      <c r="J59" s="179" t="s">
        <v>218</v>
      </c>
    </row>
    <row r="60">
      <c r="A60" s="154">
        <v>45912.614963796295</v>
      </c>
      <c r="B60" s="155">
        <v>45912.0</v>
      </c>
      <c r="E60" s="157" t="s">
        <v>119</v>
      </c>
      <c r="F60" s="157" t="s">
        <v>11</v>
      </c>
      <c r="G60" s="157" t="s">
        <v>114</v>
      </c>
      <c r="H60" s="157" t="s">
        <v>219</v>
      </c>
      <c r="I60" s="157">
        <v>56990.0</v>
      </c>
      <c r="J60" s="179" t="s">
        <v>220</v>
      </c>
    </row>
    <row r="61">
      <c r="A61" s="154">
        <v>45913.24004833333</v>
      </c>
      <c r="B61" s="155">
        <v>45912.0</v>
      </c>
      <c r="E61" s="157" t="s">
        <v>119</v>
      </c>
      <c r="F61" s="157" t="s">
        <v>11</v>
      </c>
      <c r="G61" s="157" t="s">
        <v>114</v>
      </c>
      <c r="H61" s="157" t="s">
        <v>221</v>
      </c>
      <c r="I61" s="157">
        <v>17040.0</v>
      </c>
      <c r="J61" s="179" t="s">
        <v>222</v>
      </c>
    </row>
    <row r="62">
      <c r="A62" s="154">
        <v>45913.405657152776</v>
      </c>
      <c r="B62" s="155">
        <v>45913.0</v>
      </c>
      <c r="E62" s="157" t="s">
        <v>134</v>
      </c>
      <c r="F62" s="157" t="s">
        <v>207</v>
      </c>
      <c r="G62" s="157" t="s">
        <v>114</v>
      </c>
      <c r="H62" s="157" t="s">
        <v>217</v>
      </c>
      <c r="I62" s="157">
        <v>40382.0</v>
      </c>
      <c r="J62" s="179" t="s">
        <v>223</v>
      </c>
    </row>
    <row r="63">
      <c r="A63" s="154">
        <v>45913.62086650463</v>
      </c>
      <c r="B63" s="155">
        <v>45913.0</v>
      </c>
      <c r="E63" s="157" t="s">
        <v>119</v>
      </c>
      <c r="F63" s="157" t="s">
        <v>11</v>
      </c>
      <c r="G63" s="157" t="s">
        <v>114</v>
      </c>
      <c r="H63" s="157" t="s">
        <v>182</v>
      </c>
      <c r="I63" s="157">
        <v>49460.0</v>
      </c>
      <c r="J63" s="179" t="s">
        <v>224</v>
      </c>
    </row>
    <row r="64">
      <c r="A64" s="154">
        <v>45914.28165509259</v>
      </c>
      <c r="B64" s="155">
        <v>45913.0</v>
      </c>
      <c r="E64" s="157" t="s">
        <v>119</v>
      </c>
      <c r="F64" s="157" t="s">
        <v>11</v>
      </c>
      <c r="G64" s="157" t="s">
        <v>114</v>
      </c>
      <c r="H64" s="157" t="s">
        <v>225</v>
      </c>
      <c r="I64" s="157">
        <v>18380.0</v>
      </c>
      <c r="J64" s="179" t="s">
        <v>226</v>
      </c>
    </row>
    <row r="65">
      <c r="A65" s="154">
        <v>45914.42392361111</v>
      </c>
      <c r="B65" s="155">
        <v>45914.0</v>
      </c>
      <c r="E65" s="157" t="s">
        <v>134</v>
      </c>
      <c r="F65" s="157" t="s">
        <v>207</v>
      </c>
      <c r="G65" s="157" t="s">
        <v>114</v>
      </c>
      <c r="H65" s="157" t="s">
        <v>217</v>
      </c>
      <c r="I65" s="157">
        <v>42319.0</v>
      </c>
      <c r="J65" s="179" t="s">
        <v>227</v>
      </c>
    </row>
    <row r="66">
      <c r="A66" s="154">
        <v>45914.60502621528</v>
      </c>
      <c r="B66" s="155">
        <v>45914.0</v>
      </c>
      <c r="E66" s="157" t="s">
        <v>129</v>
      </c>
      <c r="F66" s="157" t="s">
        <v>11</v>
      </c>
      <c r="G66" s="157" t="s">
        <v>114</v>
      </c>
      <c r="H66" s="157" t="s">
        <v>228</v>
      </c>
      <c r="I66" s="157">
        <v>44319.0</v>
      </c>
      <c r="J66" s="179" t="s">
        <v>229</v>
      </c>
    </row>
    <row r="67">
      <c r="A67" s="154">
        <v>45914.80259259259</v>
      </c>
      <c r="B67" s="155">
        <v>45914.0</v>
      </c>
      <c r="E67" s="157" t="s">
        <v>134</v>
      </c>
      <c r="F67" s="157" t="s">
        <v>11</v>
      </c>
      <c r="G67" s="157" t="s">
        <v>122</v>
      </c>
      <c r="H67" s="157" t="s">
        <v>230</v>
      </c>
      <c r="I67" s="157">
        <v>19570.0</v>
      </c>
      <c r="J67" s="179" t="s">
        <v>231</v>
      </c>
    </row>
    <row r="68">
      <c r="A68" s="154">
        <v>45914.803506944445</v>
      </c>
      <c r="B68" s="155">
        <v>45914.0</v>
      </c>
      <c r="E68" s="157" t="s">
        <v>119</v>
      </c>
      <c r="F68" s="157" t="s">
        <v>11</v>
      </c>
      <c r="G68" s="157" t="s">
        <v>122</v>
      </c>
      <c r="H68" s="157" t="s">
        <v>230</v>
      </c>
      <c r="I68" s="157">
        <v>22510.0</v>
      </c>
      <c r="J68" s="179" t="s">
        <v>232</v>
      </c>
    </row>
    <row r="69">
      <c r="A69" s="154">
        <v>45914.934537037036</v>
      </c>
      <c r="B69" s="155">
        <v>45914.0</v>
      </c>
      <c r="E69" s="157" t="s">
        <v>119</v>
      </c>
      <c r="F69" s="157" t="s">
        <v>11</v>
      </c>
      <c r="G69" s="157" t="s">
        <v>114</v>
      </c>
      <c r="H69" s="157" t="s">
        <v>233</v>
      </c>
      <c r="I69" s="157">
        <v>17320.0</v>
      </c>
      <c r="J69" s="179" t="s">
        <v>234</v>
      </c>
    </row>
    <row r="70">
      <c r="A70" s="154">
        <v>45915.403078703705</v>
      </c>
      <c r="B70" s="155">
        <v>45915.0</v>
      </c>
      <c r="E70" s="157" t="s">
        <v>134</v>
      </c>
      <c r="F70" s="157" t="s">
        <v>207</v>
      </c>
      <c r="G70" s="157" t="s">
        <v>114</v>
      </c>
      <c r="H70" s="157" t="s">
        <v>217</v>
      </c>
      <c r="I70" s="157">
        <v>40066.0</v>
      </c>
      <c r="J70" s="179" t="s">
        <v>235</v>
      </c>
    </row>
    <row r="71">
      <c r="A71" s="154">
        <v>45915.572164351855</v>
      </c>
      <c r="B71" s="155">
        <v>45915.0</v>
      </c>
      <c r="E71" s="157" t="s">
        <v>112</v>
      </c>
      <c r="F71" s="157" t="s">
        <v>11</v>
      </c>
      <c r="G71" s="157" t="s">
        <v>114</v>
      </c>
      <c r="H71" s="157" t="s">
        <v>182</v>
      </c>
      <c r="I71" s="157">
        <v>15785.0</v>
      </c>
      <c r="J71" s="179" t="s">
        <v>236</v>
      </c>
    </row>
    <row r="72">
      <c r="A72" s="154">
        <v>45915.57309027778</v>
      </c>
      <c r="B72" s="155">
        <v>45915.0</v>
      </c>
      <c r="E72" s="157" t="s">
        <v>119</v>
      </c>
      <c r="F72" s="157" t="s">
        <v>11</v>
      </c>
      <c r="G72" s="157" t="s">
        <v>114</v>
      </c>
      <c r="H72" s="157" t="s">
        <v>182</v>
      </c>
      <c r="I72" s="157">
        <v>31970.0</v>
      </c>
      <c r="J72" s="179" t="s">
        <v>237</v>
      </c>
    </row>
    <row r="73">
      <c r="A73" s="154">
        <v>45915.220625</v>
      </c>
      <c r="B73" s="155">
        <v>45915.0</v>
      </c>
      <c r="E73" s="157" t="s">
        <v>119</v>
      </c>
      <c r="F73" s="157" t="s">
        <v>11</v>
      </c>
      <c r="G73" s="157" t="s">
        <v>114</v>
      </c>
      <c r="H73" s="157" t="s">
        <v>238</v>
      </c>
      <c r="I73" s="157">
        <v>18740.0</v>
      </c>
      <c r="J73" s="179" t="s">
        <v>239</v>
      </c>
    </row>
    <row r="74">
      <c r="A74" s="154">
        <v>45916.64663072917</v>
      </c>
      <c r="B74" s="155">
        <v>45916.0</v>
      </c>
      <c r="E74" s="157" t="s">
        <v>119</v>
      </c>
      <c r="F74" s="157" t="s">
        <v>11</v>
      </c>
      <c r="G74" s="157" t="s">
        <v>114</v>
      </c>
      <c r="H74" s="157" t="s">
        <v>197</v>
      </c>
      <c r="I74" s="157">
        <v>31960.0</v>
      </c>
      <c r="J74" s="179" t="s">
        <v>240</v>
      </c>
    </row>
    <row r="75">
      <c r="A75" s="154">
        <v>45916.64730640047</v>
      </c>
      <c r="B75" s="155">
        <v>45916.0</v>
      </c>
      <c r="E75" s="157" t="s">
        <v>112</v>
      </c>
      <c r="F75" s="157" t="s">
        <v>11</v>
      </c>
      <c r="G75" s="157" t="s">
        <v>114</v>
      </c>
      <c r="H75" s="157" t="s">
        <v>197</v>
      </c>
      <c r="I75" s="157">
        <v>20099.0</v>
      </c>
      <c r="J75" s="179" t="s">
        <v>241</v>
      </c>
    </row>
    <row r="76">
      <c r="A76" s="154">
        <v>45916.652766203704</v>
      </c>
      <c r="B76" s="155">
        <v>45916.0</v>
      </c>
      <c r="E76" s="157" t="s">
        <v>112</v>
      </c>
      <c r="F76" s="157" t="s">
        <v>136</v>
      </c>
      <c r="G76" s="157" t="s">
        <v>122</v>
      </c>
      <c r="H76" s="157" t="s">
        <v>186</v>
      </c>
      <c r="I76" s="157">
        <v>46420.0</v>
      </c>
      <c r="J76" s="179" t="s">
        <v>242</v>
      </c>
    </row>
    <row r="77">
      <c r="A77" s="154">
        <v>45916.65384259259</v>
      </c>
      <c r="B77" s="155">
        <v>45916.0</v>
      </c>
      <c r="E77" s="157" t="s">
        <v>112</v>
      </c>
      <c r="F77" s="157" t="s">
        <v>136</v>
      </c>
      <c r="G77" s="157" t="s">
        <v>122</v>
      </c>
      <c r="H77" s="157" t="s">
        <v>139</v>
      </c>
      <c r="I77" s="157">
        <v>3629.0</v>
      </c>
      <c r="J77" s="179" t="s">
        <v>243</v>
      </c>
    </row>
    <row r="78">
      <c r="A78" s="154">
        <v>45916.65454861111</v>
      </c>
      <c r="B78" s="155">
        <v>45916.0</v>
      </c>
      <c r="E78" s="157" t="s">
        <v>112</v>
      </c>
      <c r="F78" s="157" t="s">
        <v>136</v>
      </c>
      <c r="G78" s="157" t="s">
        <v>122</v>
      </c>
      <c r="H78" s="157" t="s">
        <v>141</v>
      </c>
      <c r="I78" s="157">
        <v>5270.0</v>
      </c>
      <c r="J78" s="179" t="s">
        <v>244</v>
      </c>
    </row>
    <row r="79">
      <c r="A79" s="154">
        <v>45916.80209168981</v>
      </c>
      <c r="B79" s="155">
        <v>45916.0</v>
      </c>
      <c r="E79" s="157" t="s">
        <v>112</v>
      </c>
      <c r="F79" s="157" t="s">
        <v>136</v>
      </c>
      <c r="G79" s="157" t="s">
        <v>122</v>
      </c>
      <c r="H79" s="157" t="s">
        <v>143</v>
      </c>
      <c r="I79" s="157">
        <v>1918.0</v>
      </c>
      <c r="J79" s="179" t="s">
        <v>245</v>
      </c>
    </row>
    <row r="80">
      <c r="A80" s="154">
        <v>45917.253926261576</v>
      </c>
      <c r="B80" s="155">
        <v>45916.0</v>
      </c>
      <c r="E80" s="157" t="s">
        <v>119</v>
      </c>
      <c r="F80" s="157" t="s">
        <v>11</v>
      </c>
      <c r="G80" s="157" t="s">
        <v>114</v>
      </c>
      <c r="H80" s="157" t="s">
        <v>225</v>
      </c>
      <c r="I80" s="157">
        <v>17000.0</v>
      </c>
      <c r="J80" s="179" t="s">
        <v>246</v>
      </c>
    </row>
    <row r="81">
      <c r="A81" s="154">
        <v>45917.64728563657</v>
      </c>
      <c r="B81" s="155">
        <v>45917.0</v>
      </c>
      <c r="E81" s="157" t="s">
        <v>129</v>
      </c>
      <c r="F81" s="157" t="s">
        <v>11</v>
      </c>
      <c r="G81" s="157" t="s">
        <v>114</v>
      </c>
      <c r="H81" s="157" t="s">
        <v>247</v>
      </c>
      <c r="I81" s="157">
        <v>53755.0</v>
      </c>
      <c r="J81" s="179" t="s">
        <v>248</v>
      </c>
    </row>
    <row r="82">
      <c r="A82" s="154">
        <v>45918.24147688657</v>
      </c>
      <c r="B82" s="155">
        <v>45917.0</v>
      </c>
      <c r="E82" s="157" t="s">
        <v>119</v>
      </c>
      <c r="F82" s="157" t="s">
        <v>11</v>
      </c>
      <c r="G82" s="157" t="s">
        <v>114</v>
      </c>
      <c r="H82" s="157" t="s">
        <v>249</v>
      </c>
      <c r="I82" s="157">
        <v>17030.0</v>
      </c>
      <c r="J82" s="179" t="s">
        <v>250</v>
      </c>
    </row>
    <row r="83">
      <c r="A83" s="154">
        <v>45918.64385879629</v>
      </c>
      <c r="B83" s="155">
        <v>45918.0</v>
      </c>
      <c r="E83" s="157" t="s">
        <v>112</v>
      </c>
      <c r="F83" s="157" t="s">
        <v>11</v>
      </c>
      <c r="G83" s="157" t="s">
        <v>114</v>
      </c>
      <c r="H83" s="157" t="s">
        <v>197</v>
      </c>
      <c r="I83" s="157">
        <v>18569.0</v>
      </c>
      <c r="J83" s="179" t="s">
        <v>251</v>
      </c>
    </row>
    <row r="84">
      <c r="A84" s="154">
        <v>45918.64496987269</v>
      </c>
      <c r="B84" s="155">
        <v>45918.0</v>
      </c>
      <c r="E84" s="157" t="s">
        <v>119</v>
      </c>
      <c r="F84" s="157" t="s">
        <v>11</v>
      </c>
      <c r="G84" s="157" t="s">
        <v>114</v>
      </c>
      <c r="H84" s="157" t="s">
        <v>247</v>
      </c>
      <c r="I84" s="157">
        <v>32110.0</v>
      </c>
      <c r="J84" s="179" t="s">
        <v>252</v>
      </c>
    </row>
    <row r="85">
      <c r="A85" s="154">
        <v>45919.08764452546</v>
      </c>
      <c r="B85" s="155">
        <v>45918.0</v>
      </c>
      <c r="E85" s="157" t="s">
        <v>119</v>
      </c>
      <c r="F85" s="157" t="s">
        <v>11</v>
      </c>
      <c r="G85" s="157" t="s">
        <v>114</v>
      </c>
      <c r="H85" s="157" t="s">
        <v>253</v>
      </c>
      <c r="I85" s="157">
        <v>16890.0</v>
      </c>
      <c r="J85" s="179" t="s">
        <v>254</v>
      </c>
    </row>
    <row r="86">
      <c r="A86" s="181"/>
      <c r="B86" s="182"/>
      <c r="C86" s="156" t="str">
        <f t="shared" ref="C86:C186" si="6">TEXT(B86,"MMMM")</f>
        <v>December</v>
      </c>
      <c r="D86" s="182" t="str">
        <f t="shared" ref="D86:D186" si="7">TEXT(B86,"YYYY")</f>
        <v>1899</v>
      </c>
      <c r="E86" s="183"/>
      <c r="F86" s="183"/>
      <c r="G86" s="184"/>
      <c r="H86" s="183"/>
      <c r="I86" s="183"/>
      <c r="J86" s="185"/>
    </row>
    <row r="87">
      <c r="A87" s="181"/>
      <c r="B87" s="186"/>
      <c r="C87" s="156" t="str">
        <f t="shared" si="6"/>
        <v>December</v>
      </c>
      <c r="D87" s="186" t="str">
        <f t="shared" si="7"/>
        <v>1899</v>
      </c>
      <c r="E87" s="187"/>
      <c r="F87" s="187"/>
      <c r="G87" s="188"/>
      <c r="H87" s="187"/>
      <c r="I87" s="187"/>
      <c r="J87" s="189"/>
    </row>
    <row r="88">
      <c r="A88" s="181"/>
      <c r="B88" s="186"/>
      <c r="C88" s="156" t="str">
        <f t="shared" si="6"/>
        <v>December</v>
      </c>
      <c r="D88" s="186" t="str">
        <f t="shared" si="7"/>
        <v>1899</v>
      </c>
      <c r="E88" s="187"/>
      <c r="F88" s="187"/>
      <c r="G88" s="188"/>
      <c r="H88" s="187"/>
      <c r="I88" s="187"/>
      <c r="J88" s="189"/>
    </row>
    <row r="89">
      <c r="A89" s="181"/>
      <c r="B89" s="186"/>
      <c r="C89" s="156" t="str">
        <f t="shared" si="6"/>
        <v>December</v>
      </c>
      <c r="D89" s="186" t="str">
        <f t="shared" si="7"/>
        <v>1899</v>
      </c>
      <c r="E89" s="187"/>
      <c r="F89" s="187"/>
      <c r="G89" s="188"/>
      <c r="H89" s="187"/>
      <c r="I89" s="187"/>
      <c r="J89" s="189"/>
    </row>
    <row r="90">
      <c r="A90" s="181"/>
      <c r="B90" s="186"/>
      <c r="C90" s="156" t="str">
        <f t="shared" si="6"/>
        <v>December</v>
      </c>
      <c r="D90" s="186" t="str">
        <f t="shared" si="7"/>
        <v>1899</v>
      </c>
      <c r="E90" s="187"/>
      <c r="F90" s="187"/>
      <c r="G90" s="188"/>
      <c r="H90" s="187"/>
      <c r="I90" s="187"/>
      <c r="J90" s="189"/>
    </row>
    <row r="91">
      <c r="A91" s="181"/>
      <c r="B91" s="186"/>
      <c r="C91" s="156" t="str">
        <f t="shared" si="6"/>
        <v>December</v>
      </c>
      <c r="D91" s="186" t="str">
        <f t="shared" si="7"/>
        <v>1899</v>
      </c>
      <c r="E91" s="187"/>
      <c r="F91" s="187"/>
      <c r="G91" s="188"/>
      <c r="H91" s="187"/>
      <c r="I91" s="187"/>
      <c r="J91" s="189"/>
    </row>
    <row r="92">
      <c r="A92" s="181"/>
      <c r="B92" s="186"/>
      <c r="C92" s="156" t="str">
        <f t="shared" si="6"/>
        <v>December</v>
      </c>
      <c r="D92" s="186" t="str">
        <f t="shared" si="7"/>
        <v>1899</v>
      </c>
      <c r="E92" s="187"/>
      <c r="F92" s="187"/>
      <c r="G92" s="188"/>
      <c r="H92" s="187"/>
      <c r="I92" s="187"/>
      <c r="J92" s="189"/>
    </row>
    <row r="93">
      <c r="A93" s="181"/>
      <c r="B93" s="186"/>
      <c r="C93" s="156" t="str">
        <f t="shared" si="6"/>
        <v>December</v>
      </c>
      <c r="D93" s="186" t="str">
        <f t="shared" si="7"/>
        <v>1899</v>
      </c>
      <c r="E93" s="187"/>
      <c r="F93" s="187"/>
      <c r="G93" s="188"/>
      <c r="H93" s="187"/>
      <c r="I93" s="187"/>
      <c r="J93" s="189"/>
    </row>
    <row r="94">
      <c r="A94" s="181"/>
      <c r="B94" s="186"/>
      <c r="C94" s="156" t="str">
        <f t="shared" si="6"/>
        <v>December</v>
      </c>
      <c r="D94" s="186" t="str">
        <f t="shared" si="7"/>
        <v>1899</v>
      </c>
      <c r="E94" s="187"/>
      <c r="F94" s="187"/>
      <c r="G94" s="188"/>
      <c r="H94" s="187"/>
      <c r="I94" s="187"/>
      <c r="J94" s="189"/>
    </row>
    <row r="95">
      <c r="A95" s="181"/>
      <c r="B95" s="186"/>
      <c r="C95" s="156" t="str">
        <f t="shared" si="6"/>
        <v>December</v>
      </c>
      <c r="D95" s="186" t="str">
        <f t="shared" si="7"/>
        <v>1899</v>
      </c>
      <c r="E95" s="187"/>
      <c r="F95" s="187"/>
      <c r="G95" s="188"/>
      <c r="H95" s="187"/>
      <c r="I95" s="187"/>
      <c r="J95" s="189"/>
    </row>
    <row r="96">
      <c r="A96" s="181"/>
      <c r="B96" s="186"/>
      <c r="C96" s="156" t="str">
        <f t="shared" si="6"/>
        <v>December</v>
      </c>
      <c r="D96" s="186" t="str">
        <f t="shared" si="7"/>
        <v>1899</v>
      </c>
      <c r="E96" s="187"/>
      <c r="F96" s="187"/>
      <c r="G96" s="188"/>
      <c r="H96" s="187"/>
      <c r="I96" s="187"/>
      <c r="J96" s="189"/>
    </row>
    <row r="97">
      <c r="A97" s="181"/>
      <c r="B97" s="186"/>
      <c r="C97" s="156" t="str">
        <f t="shared" si="6"/>
        <v>December</v>
      </c>
      <c r="D97" s="186" t="str">
        <f t="shared" si="7"/>
        <v>1899</v>
      </c>
      <c r="E97" s="187"/>
      <c r="F97" s="187"/>
      <c r="G97" s="188"/>
      <c r="H97" s="187"/>
      <c r="I97" s="187"/>
      <c r="J97" s="189"/>
    </row>
    <row r="98">
      <c r="A98" s="181"/>
      <c r="B98" s="186"/>
      <c r="C98" s="156" t="str">
        <f t="shared" si="6"/>
        <v>December</v>
      </c>
      <c r="D98" s="186" t="str">
        <f t="shared" si="7"/>
        <v>1899</v>
      </c>
      <c r="E98" s="187"/>
      <c r="F98" s="187"/>
      <c r="G98" s="188"/>
      <c r="H98" s="187"/>
      <c r="I98" s="187"/>
      <c r="J98" s="189"/>
    </row>
    <row r="99">
      <c r="A99" s="181"/>
      <c r="B99" s="186"/>
      <c r="C99" s="156" t="str">
        <f t="shared" si="6"/>
        <v>December</v>
      </c>
      <c r="D99" s="186" t="str">
        <f t="shared" si="7"/>
        <v>1899</v>
      </c>
      <c r="E99" s="187"/>
      <c r="F99" s="187"/>
      <c r="G99" s="188"/>
      <c r="H99" s="187"/>
      <c r="I99" s="187"/>
      <c r="J99" s="189"/>
    </row>
    <row r="100">
      <c r="A100" s="181"/>
      <c r="B100" s="186"/>
      <c r="C100" s="156" t="str">
        <f t="shared" si="6"/>
        <v>December</v>
      </c>
      <c r="D100" s="186" t="str">
        <f t="shared" si="7"/>
        <v>1899</v>
      </c>
      <c r="E100" s="187"/>
      <c r="F100" s="187"/>
      <c r="G100" s="188"/>
      <c r="H100" s="187"/>
      <c r="I100" s="187"/>
      <c r="J100" s="189"/>
    </row>
    <row r="101">
      <c r="A101" s="181"/>
      <c r="B101" s="186"/>
      <c r="C101" s="156" t="str">
        <f t="shared" si="6"/>
        <v>December</v>
      </c>
      <c r="D101" s="186" t="str">
        <f t="shared" si="7"/>
        <v>1899</v>
      </c>
      <c r="E101" s="187"/>
      <c r="F101" s="187"/>
      <c r="G101" s="188"/>
      <c r="H101" s="187"/>
      <c r="I101" s="187"/>
      <c r="J101" s="189"/>
    </row>
    <row r="102">
      <c r="A102" s="181"/>
      <c r="B102" s="186"/>
      <c r="C102" s="156" t="str">
        <f t="shared" si="6"/>
        <v>December</v>
      </c>
      <c r="D102" s="186" t="str">
        <f t="shared" si="7"/>
        <v>1899</v>
      </c>
      <c r="E102" s="187"/>
      <c r="F102" s="187"/>
      <c r="G102" s="188"/>
      <c r="H102" s="187"/>
      <c r="I102" s="187"/>
      <c r="J102" s="189"/>
    </row>
    <row r="103">
      <c r="A103" s="181"/>
      <c r="B103" s="186"/>
      <c r="C103" s="156" t="str">
        <f t="shared" si="6"/>
        <v>December</v>
      </c>
      <c r="D103" s="186" t="str">
        <f t="shared" si="7"/>
        <v>1899</v>
      </c>
      <c r="E103" s="187"/>
      <c r="F103" s="187"/>
      <c r="G103" s="188"/>
      <c r="H103" s="187"/>
      <c r="I103" s="187"/>
      <c r="J103" s="189"/>
    </row>
    <row r="104">
      <c r="A104" s="181"/>
      <c r="B104" s="186"/>
      <c r="C104" s="156" t="str">
        <f t="shared" si="6"/>
        <v>December</v>
      </c>
      <c r="D104" s="186" t="str">
        <f t="shared" si="7"/>
        <v>1899</v>
      </c>
      <c r="E104" s="187"/>
      <c r="F104" s="187"/>
      <c r="G104" s="188"/>
      <c r="H104" s="187"/>
      <c r="I104" s="187"/>
      <c r="J104" s="189"/>
    </row>
    <row r="105">
      <c r="A105" s="181"/>
      <c r="B105" s="186"/>
      <c r="C105" s="156" t="str">
        <f t="shared" si="6"/>
        <v>December</v>
      </c>
      <c r="D105" s="186" t="str">
        <f t="shared" si="7"/>
        <v>1899</v>
      </c>
      <c r="E105" s="187"/>
      <c r="F105" s="187"/>
      <c r="G105" s="188"/>
      <c r="H105" s="187"/>
      <c r="I105" s="187"/>
      <c r="J105" s="189"/>
    </row>
    <row r="106">
      <c r="A106" s="181"/>
      <c r="B106" s="186"/>
      <c r="C106" s="156" t="str">
        <f t="shared" si="6"/>
        <v>December</v>
      </c>
      <c r="D106" s="186" t="str">
        <f t="shared" si="7"/>
        <v>1899</v>
      </c>
      <c r="E106" s="187"/>
      <c r="F106" s="187"/>
      <c r="G106" s="188"/>
      <c r="H106" s="187"/>
      <c r="I106" s="187"/>
      <c r="J106" s="189"/>
    </row>
    <row r="107">
      <c r="A107" s="181"/>
      <c r="B107" s="186"/>
      <c r="C107" s="156" t="str">
        <f t="shared" si="6"/>
        <v>December</v>
      </c>
      <c r="D107" s="186" t="str">
        <f t="shared" si="7"/>
        <v>1899</v>
      </c>
      <c r="E107" s="187"/>
      <c r="F107" s="187"/>
      <c r="G107" s="188"/>
      <c r="H107" s="187"/>
      <c r="I107" s="187"/>
      <c r="J107" s="189"/>
    </row>
    <row r="108">
      <c r="A108" s="181"/>
      <c r="B108" s="186"/>
      <c r="C108" s="156" t="str">
        <f t="shared" si="6"/>
        <v>December</v>
      </c>
      <c r="D108" s="186" t="str">
        <f t="shared" si="7"/>
        <v>1899</v>
      </c>
      <c r="E108" s="187"/>
      <c r="F108" s="187"/>
      <c r="G108" s="188"/>
      <c r="H108" s="187"/>
      <c r="I108" s="187"/>
      <c r="J108" s="189"/>
    </row>
    <row r="109">
      <c r="A109" s="181"/>
      <c r="B109" s="186"/>
      <c r="C109" s="156" t="str">
        <f t="shared" si="6"/>
        <v>December</v>
      </c>
      <c r="D109" s="186" t="str">
        <f t="shared" si="7"/>
        <v>1899</v>
      </c>
      <c r="E109" s="187"/>
      <c r="F109" s="187"/>
      <c r="G109" s="188"/>
      <c r="H109" s="187"/>
      <c r="I109" s="187"/>
      <c r="J109" s="189"/>
    </row>
    <row r="110">
      <c r="A110" s="181"/>
      <c r="B110" s="186"/>
      <c r="C110" s="156" t="str">
        <f t="shared" si="6"/>
        <v>December</v>
      </c>
      <c r="D110" s="186" t="str">
        <f t="shared" si="7"/>
        <v>1899</v>
      </c>
      <c r="E110" s="187"/>
      <c r="F110" s="187"/>
      <c r="G110" s="188"/>
      <c r="H110" s="187"/>
      <c r="I110" s="187"/>
      <c r="J110" s="189"/>
    </row>
    <row r="111">
      <c r="A111" s="181"/>
      <c r="B111" s="186"/>
      <c r="C111" s="156" t="str">
        <f t="shared" si="6"/>
        <v>December</v>
      </c>
      <c r="D111" s="186" t="str">
        <f t="shared" si="7"/>
        <v>1899</v>
      </c>
      <c r="E111" s="187"/>
      <c r="F111" s="187"/>
      <c r="G111" s="188"/>
      <c r="H111" s="187"/>
      <c r="I111" s="187"/>
      <c r="J111" s="189"/>
    </row>
    <row r="112">
      <c r="A112" s="181"/>
      <c r="B112" s="186"/>
      <c r="C112" s="156" t="str">
        <f t="shared" si="6"/>
        <v>December</v>
      </c>
      <c r="D112" s="186" t="str">
        <f t="shared" si="7"/>
        <v>1899</v>
      </c>
      <c r="E112" s="187"/>
      <c r="F112" s="187"/>
      <c r="G112" s="188"/>
      <c r="H112" s="187"/>
      <c r="I112" s="187"/>
      <c r="J112" s="189"/>
    </row>
    <row r="113">
      <c r="A113" s="181"/>
      <c r="B113" s="186"/>
      <c r="C113" s="156" t="str">
        <f t="shared" si="6"/>
        <v>December</v>
      </c>
      <c r="D113" s="186" t="str">
        <f t="shared" si="7"/>
        <v>1899</v>
      </c>
      <c r="E113" s="187"/>
      <c r="F113" s="187"/>
      <c r="G113" s="188"/>
      <c r="H113" s="187"/>
      <c r="I113" s="187"/>
      <c r="J113" s="189"/>
    </row>
    <row r="114">
      <c r="A114" s="181"/>
      <c r="B114" s="186"/>
      <c r="C114" s="156" t="str">
        <f t="shared" si="6"/>
        <v>December</v>
      </c>
      <c r="D114" s="186" t="str">
        <f t="shared" si="7"/>
        <v>1899</v>
      </c>
      <c r="E114" s="187"/>
      <c r="F114" s="187"/>
      <c r="G114" s="188"/>
      <c r="H114" s="187"/>
      <c r="I114" s="187"/>
      <c r="J114" s="189"/>
    </row>
    <row r="115">
      <c r="A115" s="181"/>
      <c r="B115" s="186"/>
      <c r="C115" s="156" t="str">
        <f t="shared" si="6"/>
        <v>December</v>
      </c>
      <c r="D115" s="186" t="str">
        <f t="shared" si="7"/>
        <v>1899</v>
      </c>
      <c r="E115" s="187"/>
      <c r="F115" s="187"/>
      <c r="G115" s="188"/>
      <c r="H115" s="187"/>
      <c r="I115" s="187"/>
      <c r="J115" s="189"/>
    </row>
    <row r="116">
      <c r="A116" s="181"/>
      <c r="B116" s="186"/>
      <c r="C116" s="156" t="str">
        <f t="shared" si="6"/>
        <v>December</v>
      </c>
      <c r="D116" s="186" t="str">
        <f t="shared" si="7"/>
        <v>1899</v>
      </c>
      <c r="E116" s="187"/>
      <c r="F116" s="187"/>
      <c r="G116" s="188"/>
      <c r="H116" s="187"/>
      <c r="I116" s="187"/>
      <c r="J116" s="189"/>
    </row>
    <row r="117">
      <c r="A117" s="181"/>
      <c r="B117" s="186"/>
      <c r="C117" s="156" t="str">
        <f t="shared" si="6"/>
        <v>December</v>
      </c>
      <c r="D117" s="186" t="str">
        <f t="shared" si="7"/>
        <v>1899</v>
      </c>
      <c r="E117" s="187"/>
      <c r="F117" s="187"/>
      <c r="G117" s="188"/>
      <c r="H117" s="187"/>
      <c r="I117" s="187"/>
      <c r="J117" s="189"/>
    </row>
    <row r="118">
      <c r="A118" s="181"/>
      <c r="B118" s="186"/>
      <c r="C118" s="156" t="str">
        <f t="shared" si="6"/>
        <v>December</v>
      </c>
      <c r="D118" s="186" t="str">
        <f t="shared" si="7"/>
        <v>1899</v>
      </c>
      <c r="E118" s="187"/>
      <c r="F118" s="187"/>
      <c r="G118" s="188"/>
      <c r="H118" s="187"/>
      <c r="I118" s="187"/>
      <c r="J118" s="189"/>
    </row>
    <row r="119">
      <c r="A119" s="181"/>
      <c r="B119" s="186"/>
      <c r="C119" s="156" t="str">
        <f t="shared" si="6"/>
        <v>December</v>
      </c>
      <c r="D119" s="186" t="str">
        <f t="shared" si="7"/>
        <v>1899</v>
      </c>
      <c r="E119" s="187"/>
      <c r="F119" s="187"/>
      <c r="G119" s="188"/>
      <c r="H119" s="187"/>
      <c r="I119" s="187"/>
      <c r="J119" s="189"/>
    </row>
    <row r="120">
      <c r="A120" s="181"/>
      <c r="B120" s="186"/>
      <c r="C120" s="156" t="str">
        <f t="shared" si="6"/>
        <v>December</v>
      </c>
      <c r="D120" s="186" t="str">
        <f t="shared" si="7"/>
        <v>1899</v>
      </c>
      <c r="E120" s="187"/>
      <c r="F120" s="187"/>
      <c r="G120" s="188"/>
      <c r="H120" s="187"/>
      <c r="I120" s="187"/>
      <c r="J120" s="189"/>
    </row>
    <row r="121">
      <c r="A121" s="181"/>
      <c r="B121" s="186"/>
      <c r="C121" s="156" t="str">
        <f t="shared" si="6"/>
        <v>December</v>
      </c>
      <c r="D121" s="186" t="str">
        <f t="shared" si="7"/>
        <v>1899</v>
      </c>
      <c r="E121" s="187"/>
      <c r="F121" s="187"/>
      <c r="G121" s="188"/>
      <c r="H121" s="187"/>
      <c r="I121" s="187"/>
      <c r="J121" s="189"/>
    </row>
    <row r="122">
      <c r="A122" s="181"/>
      <c r="B122" s="186"/>
      <c r="C122" s="156" t="str">
        <f t="shared" si="6"/>
        <v>December</v>
      </c>
      <c r="D122" s="186" t="str">
        <f t="shared" si="7"/>
        <v>1899</v>
      </c>
      <c r="E122" s="187"/>
      <c r="F122" s="187"/>
      <c r="G122" s="188"/>
      <c r="H122" s="187"/>
      <c r="I122" s="187"/>
      <c r="J122" s="189"/>
    </row>
    <row r="123">
      <c r="A123" s="181"/>
      <c r="B123" s="186"/>
      <c r="C123" s="156" t="str">
        <f t="shared" si="6"/>
        <v>December</v>
      </c>
      <c r="D123" s="186" t="str">
        <f t="shared" si="7"/>
        <v>1899</v>
      </c>
      <c r="E123" s="187"/>
      <c r="F123" s="187"/>
      <c r="G123" s="188"/>
      <c r="H123" s="187"/>
      <c r="I123" s="187"/>
      <c r="J123" s="189"/>
    </row>
    <row r="124">
      <c r="A124" s="181"/>
      <c r="B124" s="186"/>
      <c r="C124" s="156" t="str">
        <f t="shared" si="6"/>
        <v>December</v>
      </c>
      <c r="D124" s="186" t="str">
        <f t="shared" si="7"/>
        <v>1899</v>
      </c>
      <c r="E124" s="187"/>
      <c r="F124" s="187"/>
      <c r="G124" s="188"/>
      <c r="H124" s="187"/>
      <c r="I124" s="187"/>
      <c r="J124" s="189"/>
    </row>
    <row r="125">
      <c r="A125" s="181"/>
      <c r="B125" s="186"/>
      <c r="C125" s="156" t="str">
        <f t="shared" si="6"/>
        <v>December</v>
      </c>
      <c r="D125" s="186" t="str">
        <f t="shared" si="7"/>
        <v>1899</v>
      </c>
      <c r="E125" s="187"/>
      <c r="F125" s="187"/>
      <c r="G125" s="188"/>
      <c r="H125" s="187"/>
      <c r="I125" s="187"/>
      <c r="J125" s="189"/>
    </row>
    <row r="126">
      <c r="A126" s="181"/>
      <c r="B126" s="186"/>
      <c r="C126" s="156" t="str">
        <f t="shared" si="6"/>
        <v>December</v>
      </c>
      <c r="D126" s="186" t="str">
        <f t="shared" si="7"/>
        <v>1899</v>
      </c>
      <c r="E126" s="187"/>
      <c r="F126" s="187"/>
      <c r="G126" s="188"/>
      <c r="H126" s="187"/>
      <c r="I126" s="187"/>
      <c r="J126" s="189"/>
    </row>
    <row r="127">
      <c r="A127" s="181"/>
      <c r="B127" s="186"/>
      <c r="C127" s="156" t="str">
        <f t="shared" si="6"/>
        <v>December</v>
      </c>
      <c r="D127" s="186" t="str">
        <f t="shared" si="7"/>
        <v>1899</v>
      </c>
      <c r="E127" s="187"/>
      <c r="F127" s="187"/>
      <c r="G127" s="188"/>
      <c r="H127" s="187"/>
      <c r="I127" s="187"/>
      <c r="J127" s="189"/>
    </row>
    <row r="128">
      <c r="A128" s="181"/>
      <c r="B128" s="186"/>
      <c r="C128" s="156" t="str">
        <f t="shared" si="6"/>
        <v>December</v>
      </c>
      <c r="D128" s="186" t="str">
        <f t="shared" si="7"/>
        <v>1899</v>
      </c>
      <c r="E128" s="187"/>
      <c r="F128" s="187"/>
      <c r="G128" s="188"/>
      <c r="H128" s="187"/>
      <c r="I128" s="187"/>
      <c r="J128" s="189"/>
    </row>
    <row r="129">
      <c r="A129" s="181"/>
      <c r="B129" s="186"/>
      <c r="C129" s="156" t="str">
        <f t="shared" si="6"/>
        <v>December</v>
      </c>
      <c r="D129" s="186" t="str">
        <f t="shared" si="7"/>
        <v>1899</v>
      </c>
      <c r="E129" s="187"/>
      <c r="F129" s="187"/>
      <c r="G129" s="188"/>
      <c r="H129" s="187"/>
      <c r="I129" s="187"/>
      <c r="J129" s="189"/>
    </row>
    <row r="130">
      <c r="A130" s="181"/>
      <c r="B130" s="186"/>
      <c r="C130" s="156" t="str">
        <f t="shared" si="6"/>
        <v>December</v>
      </c>
      <c r="D130" s="186" t="str">
        <f t="shared" si="7"/>
        <v>1899</v>
      </c>
      <c r="E130" s="187"/>
      <c r="F130" s="187"/>
      <c r="G130" s="188"/>
      <c r="H130" s="187"/>
      <c r="I130" s="187"/>
      <c r="J130" s="189"/>
    </row>
    <row r="131">
      <c r="A131" s="181"/>
      <c r="B131" s="186"/>
      <c r="C131" s="156" t="str">
        <f t="shared" si="6"/>
        <v>December</v>
      </c>
      <c r="D131" s="186" t="str">
        <f t="shared" si="7"/>
        <v>1899</v>
      </c>
      <c r="E131" s="187"/>
      <c r="F131" s="187"/>
      <c r="G131" s="188"/>
      <c r="H131" s="187"/>
      <c r="I131" s="187"/>
      <c r="J131" s="189"/>
    </row>
    <row r="132">
      <c r="A132" s="181"/>
      <c r="B132" s="186"/>
      <c r="C132" s="156" t="str">
        <f t="shared" si="6"/>
        <v>December</v>
      </c>
      <c r="D132" s="186" t="str">
        <f t="shared" si="7"/>
        <v>1899</v>
      </c>
      <c r="E132" s="187"/>
      <c r="F132" s="187"/>
      <c r="G132" s="188"/>
      <c r="H132" s="187"/>
      <c r="I132" s="187"/>
      <c r="J132" s="189"/>
    </row>
    <row r="133">
      <c r="A133" s="181"/>
      <c r="B133" s="186"/>
      <c r="C133" s="156" t="str">
        <f t="shared" si="6"/>
        <v>December</v>
      </c>
      <c r="D133" s="186" t="str">
        <f t="shared" si="7"/>
        <v>1899</v>
      </c>
      <c r="E133" s="187"/>
      <c r="F133" s="187"/>
      <c r="G133" s="188"/>
      <c r="H133" s="187"/>
      <c r="I133" s="187"/>
      <c r="J133" s="189"/>
    </row>
    <row r="134">
      <c r="A134" s="181"/>
      <c r="B134" s="186"/>
      <c r="C134" s="156" t="str">
        <f t="shared" si="6"/>
        <v>December</v>
      </c>
      <c r="D134" s="186" t="str">
        <f t="shared" si="7"/>
        <v>1899</v>
      </c>
      <c r="E134" s="187"/>
      <c r="F134" s="187"/>
      <c r="G134" s="188"/>
      <c r="H134" s="187"/>
      <c r="I134" s="187"/>
      <c r="J134" s="189"/>
    </row>
    <row r="135">
      <c r="A135" s="181"/>
      <c r="B135" s="186"/>
      <c r="C135" s="156" t="str">
        <f t="shared" si="6"/>
        <v>December</v>
      </c>
      <c r="D135" s="186" t="str">
        <f t="shared" si="7"/>
        <v>1899</v>
      </c>
      <c r="E135" s="187"/>
      <c r="F135" s="187"/>
      <c r="G135" s="188"/>
      <c r="H135" s="187"/>
      <c r="I135" s="187"/>
      <c r="J135" s="189"/>
    </row>
    <row r="136">
      <c r="A136" s="181"/>
      <c r="B136" s="186"/>
      <c r="C136" s="156" t="str">
        <f t="shared" si="6"/>
        <v>December</v>
      </c>
      <c r="D136" s="186" t="str">
        <f t="shared" si="7"/>
        <v>1899</v>
      </c>
      <c r="E136" s="187"/>
      <c r="F136" s="187"/>
      <c r="G136" s="188"/>
      <c r="H136" s="187"/>
      <c r="I136" s="187"/>
      <c r="J136" s="189"/>
    </row>
    <row r="137">
      <c r="A137" s="181"/>
      <c r="B137" s="186"/>
      <c r="C137" s="156" t="str">
        <f t="shared" si="6"/>
        <v>December</v>
      </c>
      <c r="D137" s="186" t="str">
        <f t="shared" si="7"/>
        <v>1899</v>
      </c>
      <c r="E137" s="187"/>
      <c r="F137" s="187"/>
      <c r="G137" s="188"/>
      <c r="H137" s="187"/>
      <c r="I137" s="187"/>
      <c r="J137" s="189"/>
    </row>
    <row r="138">
      <c r="A138" s="181"/>
      <c r="B138" s="186"/>
      <c r="C138" s="156" t="str">
        <f t="shared" si="6"/>
        <v>December</v>
      </c>
      <c r="D138" s="186" t="str">
        <f t="shared" si="7"/>
        <v>1899</v>
      </c>
      <c r="E138" s="187"/>
      <c r="F138" s="187"/>
      <c r="G138" s="188"/>
      <c r="H138" s="187"/>
      <c r="I138" s="187"/>
      <c r="J138" s="189"/>
    </row>
    <row r="139">
      <c r="A139" s="181"/>
      <c r="B139" s="186"/>
      <c r="C139" s="156" t="str">
        <f t="shared" si="6"/>
        <v>December</v>
      </c>
      <c r="D139" s="186" t="str">
        <f t="shared" si="7"/>
        <v>1899</v>
      </c>
      <c r="E139" s="187"/>
      <c r="F139" s="187"/>
      <c r="G139" s="188"/>
      <c r="H139" s="187"/>
      <c r="I139" s="187"/>
      <c r="J139" s="189"/>
    </row>
    <row r="140">
      <c r="A140" s="181"/>
      <c r="B140" s="186"/>
      <c r="C140" s="156" t="str">
        <f t="shared" si="6"/>
        <v>December</v>
      </c>
      <c r="D140" s="186" t="str">
        <f t="shared" si="7"/>
        <v>1899</v>
      </c>
      <c r="E140" s="187"/>
      <c r="F140" s="187"/>
      <c r="G140" s="188"/>
      <c r="H140" s="187"/>
      <c r="I140" s="187"/>
      <c r="J140" s="189"/>
    </row>
    <row r="141">
      <c r="A141" s="181"/>
      <c r="B141" s="186"/>
      <c r="C141" s="156" t="str">
        <f t="shared" si="6"/>
        <v>December</v>
      </c>
      <c r="D141" s="186" t="str">
        <f t="shared" si="7"/>
        <v>1899</v>
      </c>
      <c r="E141" s="187"/>
      <c r="F141" s="187"/>
      <c r="G141" s="188"/>
      <c r="H141" s="187"/>
      <c r="I141" s="187"/>
      <c r="J141" s="189"/>
    </row>
    <row r="142">
      <c r="A142" s="181"/>
      <c r="B142" s="186"/>
      <c r="C142" s="156" t="str">
        <f t="shared" si="6"/>
        <v>December</v>
      </c>
      <c r="D142" s="186" t="str">
        <f t="shared" si="7"/>
        <v>1899</v>
      </c>
      <c r="E142" s="187"/>
      <c r="F142" s="187"/>
      <c r="G142" s="188"/>
      <c r="H142" s="187"/>
      <c r="I142" s="187"/>
      <c r="J142" s="189"/>
    </row>
    <row r="143">
      <c r="A143" s="181"/>
      <c r="B143" s="186"/>
      <c r="C143" s="156" t="str">
        <f t="shared" si="6"/>
        <v>December</v>
      </c>
      <c r="D143" s="186" t="str">
        <f t="shared" si="7"/>
        <v>1899</v>
      </c>
      <c r="E143" s="187"/>
      <c r="F143" s="187"/>
      <c r="G143" s="188"/>
      <c r="H143" s="187"/>
      <c r="I143" s="187"/>
      <c r="J143" s="189"/>
    </row>
    <row r="144">
      <c r="A144" s="181"/>
      <c r="B144" s="186"/>
      <c r="C144" s="156" t="str">
        <f t="shared" si="6"/>
        <v>December</v>
      </c>
      <c r="D144" s="186" t="str">
        <f t="shared" si="7"/>
        <v>1899</v>
      </c>
      <c r="E144" s="187"/>
      <c r="F144" s="187"/>
      <c r="G144" s="188"/>
      <c r="H144" s="187"/>
      <c r="I144" s="187"/>
      <c r="J144" s="189"/>
    </row>
    <row r="145">
      <c r="A145" s="181"/>
      <c r="B145" s="186"/>
      <c r="C145" s="156" t="str">
        <f t="shared" si="6"/>
        <v>December</v>
      </c>
      <c r="D145" s="186" t="str">
        <f t="shared" si="7"/>
        <v>1899</v>
      </c>
      <c r="E145" s="187"/>
      <c r="F145" s="187"/>
      <c r="G145" s="188"/>
      <c r="H145" s="187"/>
      <c r="I145" s="187"/>
      <c r="J145" s="189"/>
    </row>
    <row r="146">
      <c r="A146" s="181"/>
      <c r="B146" s="186"/>
      <c r="C146" s="156" t="str">
        <f t="shared" si="6"/>
        <v>December</v>
      </c>
      <c r="D146" s="186" t="str">
        <f t="shared" si="7"/>
        <v>1899</v>
      </c>
      <c r="E146" s="187"/>
      <c r="F146" s="187"/>
      <c r="G146" s="188"/>
      <c r="H146" s="187"/>
      <c r="I146" s="187"/>
      <c r="J146" s="189"/>
    </row>
    <row r="147">
      <c r="A147" s="181"/>
      <c r="B147" s="186"/>
      <c r="C147" s="156" t="str">
        <f t="shared" si="6"/>
        <v>December</v>
      </c>
      <c r="D147" s="186" t="str">
        <f t="shared" si="7"/>
        <v>1899</v>
      </c>
      <c r="E147" s="187"/>
      <c r="F147" s="187"/>
      <c r="G147" s="188"/>
      <c r="H147" s="187"/>
      <c r="I147" s="187"/>
      <c r="J147" s="189"/>
    </row>
    <row r="148">
      <c r="A148" s="181"/>
      <c r="B148" s="186"/>
      <c r="C148" s="156" t="str">
        <f t="shared" si="6"/>
        <v>December</v>
      </c>
      <c r="D148" s="186" t="str">
        <f t="shared" si="7"/>
        <v>1899</v>
      </c>
      <c r="E148" s="187"/>
      <c r="F148" s="187"/>
      <c r="G148" s="188"/>
      <c r="H148" s="187"/>
      <c r="I148" s="187"/>
      <c r="J148" s="189"/>
    </row>
    <row r="149">
      <c r="A149" s="181"/>
      <c r="B149" s="186"/>
      <c r="C149" s="156" t="str">
        <f t="shared" si="6"/>
        <v>December</v>
      </c>
      <c r="D149" s="186" t="str">
        <f t="shared" si="7"/>
        <v>1899</v>
      </c>
      <c r="E149" s="187"/>
      <c r="F149" s="187"/>
      <c r="G149" s="188"/>
      <c r="H149" s="187"/>
      <c r="I149" s="187"/>
      <c r="J149" s="189"/>
    </row>
    <row r="150">
      <c r="A150" s="181"/>
      <c r="B150" s="186"/>
      <c r="C150" s="156" t="str">
        <f t="shared" si="6"/>
        <v>December</v>
      </c>
      <c r="D150" s="186" t="str">
        <f t="shared" si="7"/>
        <v>1899</v>
      </c>
      <c r="E150" s="187"/>
      <c r="F150" s="187"/>
      <c r="G150" s="188"/>
      <c r="H150" s="187"/>
      <c r="I150" s="187"/>
      <c r="J150" s="189"/>
    </row>
    <row r="151">
      <c r="A151" s="181"/>
      <c r="B151" s="186"/>
      <c r="C151" s="156" t="str">
        <f t="shared" si="6"/>
        <v>December</v>
      </c>
      <c r="D151" s="186" t="str">
        <f t="shared" si="7"/>
        <v>1899</v>
      </c>
      <c r="E151" s="187"/>
      <c r="F151" s="187"/>
      <c r="G151" s="188"/>
      <c r="H151" s="187"/>
      <c r="I151" s="187"/>
      <c r="J151" s="189"/>
    </row>
    <row r="152">
      <c r="A152" s="181"/>
      <c r="B152" s="186"/>
      <c r="C152" s="156" t="str">
        <f t="shared" si="6"/>
        <v>December</v>
      </c>
      <c r="D152" s="186" t="str">
        <f t="shared" si="7"/>
        <v>1899</v>
      </c>
      <c r="E152" s="187"/>
      <c r="F152" s="187"/>
      <c r="G152" s="188"/>
      <c r="H152" s="187"/>
      <c r="I152" s="187"/>
      <c r="J152" s="189"/>
    </row>
    <row r="153">
      <c r="A153" s="181"/>
      <c r="B153" s="186"/>
      <c r="C153" s="156" t="str">
        <f t="shared" si="6"/>
        <v>December</v>
      </c>
      <c r="D153" s="186" t="str">
        <f t="shared" si="7"/>
        <v>1899</v>
      </c>
      <c r="E153" s="187"/>
      <c r="F153" s="187"/>
      <c r="G153" s="188"/>
      <c r="H153" s="187"/>
      <c r="I153" s="187"/>
      <c r="J153" s="189"/>
    </row>
    <row r="154">
      <c r="A154" s="181"/>
      <c r="B154" s="186"/>
      <c r="C154" s="156" t="str">
        <f t="shared" si="6"/>
        <v>December</v>
      </c>
      <c r="D154" s="186" t="str">
        <f t="shared" si="7"/>
        <v>1899</v>
      </c>
      <c r="E154" s="187"/>
      <c r="F154" s="187"/>
      <c r="G154" s="188"/>
      <c r="H154" s="187"/>
      <c r="I154" s="187"/>
      <c r="J154" s="189"/>
    </row>
    <row r="155">
      <c r="A155" s="181"/>
      <c r="B155" s="186"/>
      <c r="C155" s="156" t="str">
        <f t="shared" si="6"/>
        <v>December</v>
      </c>
      <c r="D155" s="186" t="str">
        <f t="shared" si="7"/>
        <v>1899</v>
      </c>
      <c r="E155" s="187"/>
      <c r="F155" s="187"/>
      <c r="G155" s="188"/>
      <c r="H155" s="187"/>
      <c r="I155" s="187"/>
      <c r="J155" s="189"/>
    </row>
    <row r="156">
      <c r="A156" s="181"/>
      <c r="B156" s="186"/>
      <c r="C156" s="156" t="str">
        <f t="shared" si="6"/>
        <v>December</v>
      </c>
      <c r="D156" s="186" t="str">
        <f t="shared" si="7"/>
        <v>1899</v>
      </c>
      <c r="E156" s="187"/>
      <c r="F156" s="187"/>
      <c r="G156" s="188"/>
      <c r="H156" s="187"/>
      <c r="I156" s="187"/>
      <c r="J156" s="189"/>
    </row>
    <row r="157">
      <c r="A157" s="181"/>
      <c r="B157" s="186"/>
      <c r="C157" s="156" t="str">
        <f t="shared" si="6"/>
        <v>December</v>
      </c>
      <c r="D157" s="186" t="str">
        <f t="shared" si="7"/>
        <v>1899</v>
      </c>
      <c r="E157" s="187"/>
      <c r="F157" s="187"/>
      <c r="G157" s="188"/>
      <c r="H157" s="187"/>
      <c r="I157" s="187"/>
      <c r="J157" s="189"/>
    </row>
    <row r="158">
      <c r="A158" s="181"/>
      <c r="B158" s="186"/>
      <c r="C158" s="156" t="str">
        <f t="shared" si="6"/>
        <v>December</v>
      </c>
      <c r="D158" s="186" t="str">
        <f t="shared" si="7"/>
        <v>1899</v>
      </c>
      <c r="E158" s="187"/>
      <c r="F158" s="187"/>
      <c r="G158" s="188"/>
      <c r="H158" s="187"/>
      <c r="I158" s="187"/>
      <c r="J158" s="189"/>
    </row>
    <row r="159">
      <c r="A159" s="181"/>
      <c r="B159" s="186"/>
      <c r="C159" s="156" t="str">
        <f t="shared" si="6"/>
        <v>December</v>
      </c>
      <c r="D159" s="186" t="str">
        <f t="shared" si="7"/>
        <v>1899</v>
      </c>
      <c r="E159" s="187"/>
      <c r="F159" s="187"/>
      <c r="G159" s="188"/>
      <c r="H159" s="187"/>
      <c r="I159" s="187"/>
      <c r="J159" s="189"/>
    </row>
    <row r="160">
      <c r="A160" s="181"/>
      <c r="B160" s="186"/>
      <c r="C160" s="156" t="str">
        <f t="shared" si="6"/>
        <v>December</v>
      </c>
      <c r="D160" s="186" t="str">
        <f t="shared" si="7"/>
        <v>1899</v>
      </c>
      <c r="E160" s="187"/>
      <c r="F160" s="187"/>
      <c r="G160" s="188"/>
      <c r="H160" s="187"/>
      <c r="I160" s="187"/>
      <c r="J160" s="189"/>
    </row>
    <row r="161">
      <c r="A161" s="181"/>
      <c r="B161" s="186"/>
      <c r="C161" s="156" t="str">
        <f t="shared" si="6"/>
        <v>December</v>
      </c>
      <c r="D161" s="186" t="str">
        <f t="shared" si="7"/>
        <v>1899</v>
      </c>
      <c r="E161" s="187"/>
      <c r="F161" s="187"/>
      <c r="G161" s="188"/>
      <c r="H161" s="187"/>
      <c r="I161" s="187"/>
      <c r="J161" s="189"/>
    </row>
    <row r="162">
      <c r="A162" s="181"/>
      <c r="B162" s="186"/>
      <c r="C162" s="156" t="str">
        <f t="shared" si="6"/>
        <v>December</v>
      </c>
      <c r="D162" s="186" t="str">
        <f t="shared" si="7"/>
        <v>1899</v>
      </c>
      <c r="E162" s="187"/>
      <c r="F162" s="187"/>
      <c r="G162" s="188"/>
      <c r="H162" s="187"/>
      <c r="I162" s="187"/>
      <c r="J162" s="189"/>
    </row>
    <row r="163">
      <c r="A163" s="181"/>
      <c r="B163" s="186"/>
      <c r="C163" s="156" t="str">
        <f t="shared" si="6"/>
        <v>December</v>
      </c>
      <c r="D163" s="186" t="str">
        <f t="shared" si="7"/>
        <v>1899</v>
      </c>
      <c r="E163" s="187"/>
      <c r="F163" s="187"/>
      <c r="G163" s="188"/>
      <c r="H163" s="187"/>
      <c r="I163" s="187"/>
      <c r="J163" s="189"/>
    </row>
    <row r="164">
      <c r="A164" s="181"/>
      <c r="B164" s="186"/>
      <c r="C164" s="156" t="str">
        <f t="shared" si="6"/>
        <v>December</v>
      </c>
      <c r="D164" s="186" t="str">
        <f t="shared" si="7"/>
        <v>1899</v>
      </c>
      <c r="E164" s="187"/>
      <c r="F164" s="187"/>
      <c r="G164" s="188"/>
      <c r="H164" s="187"/>
      <c r="I164" s="187"/>
      <c r="J164" s="189"/>
    </row>
    <row r="165">
      <c r="A165" s="181"/>
      <c r="B165" s="186"/>
      <c r="C165" s="156" t="str">
        <f t="shared" si="6"/>
        <v>December</v>
      </c>
      <c r="D165" s="186" t="str">
        <f t="shared" si="7"/>
        <v>1899</v>
      </c>
      <c r="E165" s="187"/>
      <c r="F165" s="187"/>
      <c r="G165" s="188"/>
      <c r="H165" s="187"/>
      <c r="I165" s="187"/>
      <c r="J165" s="189"/>
    </row>
    <row r="166">
      <c r="A166" s="181"/>
      <c r="B166" s="186"/>
      <c r="C166" s="156" t="str">
        <f t="shared" si="6"/>
        <v>December</v>
      </c>
      <c r="D166" s="186" t="str">
        <f t="shared" si="7"/>
        <v>1899</v>
      </c>
      <c r="E166" s="187"/>
      <c r="F166" s="187"/>
      <c r="G166" s="188"/>
      <c r="H166" s="187"/>
      <c r="I166" s="187"/>
      <c r="J166" s="189"/>
    </row>
    <row r="167">
      <c r="A167" s="181"/>
      <c r="B167" s="186"/>
      <c r="C167" s="156" t="str">
        <f t="shared" si="6"/>
        <v>December</v>
      </c>
      <c r="D167" s="186" t="str">
        <f t="shared" si="7"/>
        <v>1899</v>
      </c>
      <c r="E167" s="187"/>
      <c r="F167" s="187"/>
      <c r="G167" s="188"/>
      <c r="H167" s="187"/>
      <c r="I167" s="187"/>
      <c r="J167" s="189"/>
    </row>
    <row r="168">
      <c r="A168" s="181"/>
      <c r="B168" s="186"/>
      <c r="C168" s="156" t="str">
        <f t="shared" si="6"/>
        <v>December</v>
      </c>
      <c r="D168" s="186" t="str">
        <f t="shared" si="7"/>
        <v>1899</v>
      </c>
      <c r="E168" s="187"/>
      <c r="F168" s="187"/>
      <c r="G168" s="188"/>
      <c r="H168" s="187"/>
      <c r="I168" s="187"/>
      <c r="J168" s="189"/>
    </row>
    <row r="169">
      <c r="A169" s="181"/>
      <c r="B169" s="186"/>
      <c r="C169" s="156" t="str">
        <f t="shared" si="6"/>
        <v>December</v>
      </c>
      <c r="D169" s="186" t="str">
        <f t="shared" si="7"/>
        <v>1899</v>
      </c>
      <c r="E169" s="187"/>
      <c r="F169" s="187"/>
      <c r="G169" s="188"/>
      <c r="H169" s="187"/>
      <c r="I169" s="187"/>
      <c r="J169" s="189"/>
    </row>
    <row r="170">
      <c r="A170" s="181"/>
      <c r="B170" s="186"/>
      <c r="C170" s="156" t="str">
        <f t="shared" si="6"/>
        <v>December</v>
      </c>
      <c r="D170" s="186" t="str">
        <f t="shared" si="7"/>
        <v>1899</v>
      </c>
      <c r="E170" s="187"/>
      <c r="F170" s="187"/>
      <c r="G170" s="188"/>
      <c r="H170" s="187"/>
      <c r="I170" s="187"/>
      <c r="J170" s="189"/>
    </row>
    <row r="171">
      <c r="A171" s="181"/>
      <c r="B171" s="186"/>
      <c r="C171" s="156" t="str">
        <f t="shared" si="6"/>
        <v>December</v>
      </c>
      <c r="D171" s="186" t="str">
        <f t="shared" si="7"/>
        <v>1899</v>
      </c>
      <c r="E171" s="187"/>
      <c r="F171" s="187"/>
      <c r="G171" s="188"/>
      <c r="H171" s="187"/>
      <c r="I171" s="187"/>
      <c r="J171" s="189"/>
    </row>
    <row r="172">
      <c r="A172" s="181"/>
      <c r="B172" s="186"/>
      <c r="C172" s="156" t="str">
        <f t="shared" si="6"/>
        <v>December</v>
      </c>
      <c r="D172" s="186" t="str">
        <f t="shared" si="7"/>
        <v>1899</v>
      </c>
      <c r="E172" s="187"/>
      <c r="F172" s="187"/>
      <c r="G172" s="188"/>
      <c r="H172" s="187"/>
      <c r="I172" s="187"/>
      <c r="J172" s="189"/>
    </row>
    <row r="173">
      <c r="A173" s="181"/>
      <c r="B173" s="186"/>
      <c r="C173" s="156" t="str">
        <f t="shared" si="6"/>
        <v>December</v>
      </c>
      <c r="D173" s="186" t="str">
        <f t="shared" si="7"/>
        <v>1899</v>
      </c>
      <c r="E173" s="187"/>
      <c r="F173" s="187"/>
      <c r="G173" s="188"/>
      <c r="H173" s="187"/>
      <c r="I173" s="187"/>
      <c r="J173" s="189"/>
    </row>
    <row r="174">
      <c r="A174" s="181"/>
      <c r="B174" s="186"/>
      <c r="C174" s="156" t="str">
        <f t="shared" si="6"/>
        <v>December</v>
      </c>
      <c r="D174" s="186" t="str">
        <f t="shared" si="7"/>
        <v>1899</v>
      </c>
      <c r="E174" s="187"/>
      <c r="F174" s="187"/>
      <c r="G174" s="188"/>
      <c r="H174" s="187"/>
      <c r="I174" s="187"/>
      <c r="J174" s="189"/>
    </row>
    <row r="175">
      <c r="A175" s="181"/>
      <c r="B175" s="186"/>
      <c r="C175" s="156" t="str">
        <f t="shared" si="6"/>
        <v>December</v>
      </c>
      <c r="D175" s="186" t="str">
        <f t="shared" si="7"/>
        <v>1899</v>
      </c>
      <c r="E175" s="187"/>
      <c r="F175" s="187"/>
      <c r="G175" s="188"/>
      <c r="H175" s="187"/>
      <c r="I175" s="187"/>
      <c r="J175" s="189"/>
    </row>
    <row r="176">
      <c r="A176" s="181"/>
      <c r="B176" s="186"/>
      <c r="C176" s="156" t="str">
        <f t="shared" si="6"/>
        <v>December</v>
      </c>
      <c r="D176" s="186" t="str">
        <f t="shared" si="7"/>
        <v>1899</v>
      </c>
      <c r="E176" s="187"/>
      <c r="F176" s="187"/>
      <c r="G176" s="188"/>
      <c r="H176" s="187"/>
      <c r="I176" s="187"/>
      <c r="J176" s="189"/>
    </row>
    <row r="177">
      <c r="A177" s="181"/>
      <c r="B177" s="186"/>
      <c r="C177" s="156" t="str">
        <f t="shared" si="6"/>
        <v>December</v>
      </c>
      <c r="D177" s="186" t="str">
        <f t="shared" si="7"/>
        <v>1899</v>
      </c>
      <c r="E177" s="187"/>
      <c r="F177" s="187"/>
      <c r="G177" s="188"/>
      <c r="H177" s="187"/>
      <c r="I177" s="187"/>
      <c r="J177" s="189"/>
    </row>
    <row r="178">
      <c r="A178" s="181"/>
      <c r="B178" s="186"/>
      <c r="C178" s="156" t="str">
        <f t="shared" si="6"/>
        <v>December</v>
      </c>
      <c r="D178" s="186" t="str">
        <f t="shared" si="7"/>
        <v>1899</v>
      </c>
      <c r="E178" s="187"/>
      <c r="F178" s="187"/>
      <c r="G178" s="188"/>
      <c r="H178" s="187"/>
      <c r="I178" s="187"/>
      <c r="J178" s="189"/>
    </row>
    <row r="179">
      <c r="A179" s="181"/>
      <c r="B179" s="186"/>
      <c r="C179" s="156" t="str">
        <f t="shared" si="6"/>
        <v>December</v>
      </c>
      <c r="D179" s="186" t="str">
        <f t="shared" si="7"/>
        <v>1899</v>
      </c>
      <c r="E179" s="187"/>
      <c r="F179" s="187"/>
      <c r="G179" s="188"/>
      <c r="H179" s="187"/>
      <c r="I179" s="187"/>
      <c r="J179" s="189"/>
    </row>
    <row r="180">
      <c r="A180" s="181"/>
      <c r="B180" s="186"/>
      <c r="C180" s="156" t="str">
        <f t="shared" si="6"/>
        <v>December</v>
      </c>
      <c r="D180" s="186" t="str">
        <f t="shared" si="7"/>
        <v>1899</v>
      </c>
      <c r="E180" s="187"/>
      <c r="F180" s="187"/>
      <c r="G180" s="188"/>
      <c r="H180" s="187"/>
      <c r="I180" s="187"/>
      <c r="J180" s="189"/>
    </row>
    <row r="181">
      <c r="A181" s="181"/>
      <c r="B181" s="186"/>
      <c r="C181" s="156" t="str">
        <f t="shared" si="6"/>
        <v>December</v>
      </c>
      <c r="D181" s="186" t="str">
        <f t="shared" si="7"/>
        <v>1899</v>
      </c>
      <c r="E181" s="187"/>
      <c r="F181" s="187"/>
      <c r="G181" s="188"/>
      <c r="H181" s="187"/>
      <c r="I181" s="187"/>
      <c r="J181" s="189"/>
    </row>
    <row r="182">
      <c r="A182" s="181"/>
      <c r="B182" s="186"/>
      <c r="C182" s="156" t="str">
        <f t="shared" si="6"/>
        <v>December</v>
      </c>
      <c r="D182" s="186" t="str">
        <f t="shared" si="7"/>
        <v>1899</v>
      </c>
      <c r="E182" s="187"/>
      <c r="F182" s="187"/>
      <c r="G182" s="188"/>
      <c r="H182" s="187"/>
      <c r="I182" s="187"/>
      <c r="J182" s="189"/>
    </row>
    <row r="183">
      <c r="A183" s="181"/>
      <c r="B183" s="186"/>
      <c r="C183" s="156" t="str">
        <f t="shared" si="6"/>
        <v>December</v>
      </c>
      <c r="D183" s="186" t="str">
        <f t="shared" si="7"/>
        <v>1899</v>
      </c>
      <c r="E183" s="187"/>
      <c r="F183" s="187"/>
      <c r="G183" s="188"/>
      <c r="H183" s="187"/>
      <c r="I183" s="187"/>
      <c r="J183" s="189"/>
    </row>
    <row r="184">
      <c r="A184" s="181"/>
      <c r="B184" s="186"/>
      <c r="C184" s="156" t="str">
        <f t="shared" si="6"/>
        <v>December</v>
      </c>
      <c r="D184" s="186" t="str">
        <f t="shared" si="7"/>
        <v>1899</v>
      </c>
      <c r="E184" s="187"/>
      <c r="F184" s="187"/>
      <c r="G184" s="188"/>
      <c r="H184" s="187"/>
      <c r="I184" s="187"/>
      <c r="J184" s="189"/>
    </row>
    <row r="185">
      <c r="A185" s="181"/>
      <c r="B185" s="186"/>
      <c r="C185" s="156" t="str">
        <f t="shared" si="6"/>
        <v>December</v>
      </c>
      <c r="D185" s="186" t="str">
        <f t="shared" si="7"/>
        <v>1899</v>
      </c>
      <c r="E185" s="187"/>
      <c r="F185" s="187"/>
      <c r="G185" s="188"/>
      <c r="H185" s="187"/>
      <c r="I185" s="187"/>
      <c r="J185" s="189"/>
    </row>
    <row r="186">
      <c r="A186" s="190"/>
      <c r="B186" s="191"/>
      <c r="C186" s="192" t="str">
        <f t="shared" si="6"/>
        <v>December</v>
      </c>
      <c r="D186" s="191" t="str">
        <f t="shared" si="7"/>
        <v>1899</v>
      </c>
      <c r="E186" s="193"/>
      <c r="F186" s="193"/>
      <c r="G186" s="194"/>
      <c r="H186" s="193"/>
      <c r="I186" s="193"/>
      <c r="J186" s="195"/>
    </row>
  </sheetData>
  <dataValidations>
    <dataValidation type="list" allowBlank="1" showErrorMessage="1" sqref="O3">
      <formula1>"ALL AIRLINES,DHL,ETHIOPIAN,LUFTHANSA,QATAR,VIRGIN ATLANTIC"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3" width="21.57"/>
  </cols>
  <sheetData>
    <row r="1">
      <c r="A1" s="196" t="s">
        <v>62</v>
      </c>
      <c r="B1" s="197" t="s">
        <v>63</v>
      </c>
      <c r="C1" s="198" t="s">
        <v>255</v>
      </c>
      <c r="D1" s="198" t="s">
        <v>256</v>
      </c>
      <c r="E1" s="198" t="s">
        <v>55</v>
      </c>
      <c r="F1" s="198" t="s">
        <v>56</v>
      </c>
      <c r="G1" s="198" t="s">
        <v>257</v>
      </c>
      <c r="H1" s="198" t="s">
        <v>258</v>
      </c>
      <c r="I1" s="198" t="s">
        <v>259</v>
      </c>
      <c r="J1" s="198" t="s">
        <v>260</v>
      </c>
      <c r="K1" s="198" t="s">
        <v>261</v>
      </c>
      <c r="L1" s="198" t="s">
        <v>262</v>
      </c>
      <c r="M1" s="198" t="s">
        <v>263</v>
      </c>
      <c r="N1" s="198" t="s">
        <v>264</v>
      </c>
      <c r="O1" s="198" t="s">
        <v>265</v>
      </c>
      <c r="P1" s="198" t="s">
        <v>266</v>
      </c>
      <c r="Q1" s="199" t="s">
        <v>267</v>
      </c>
    </row>
    <row r="2">
      <c r="A2" s="200">
        <v>45915.65107798611</v>
      </c>
      <c r="B2" s="201">
        <v>45914.0</v>
      </c>
      <c r="C2" s="202" t="s">
        <v>268</v>
      </c>
      <c r="D2" s="202" t="s">
        <v>13</v>
      </c>
      <c r="E2" s="202">
        <v>137344.0</v>
      </c>
      <c r="F2" s="202">
        <v>34179.0</v>
      </c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4"/>
    </row>
    <row r="3">
      <c r="A3" s="205">
        <v>45915.651815034726</v>
      </c>
      <c r="B3" s="206">
        <v>45914.0</v>
      </c>
      <c r="C3" s="207" t="s">
        <v>268</v>
      </c>
      <c r="D3" s="207" t="s">
        <v>16</v>
      </c>
      <c r="E3" s="207">
        <v>632469.0</v>
      </c>
      <c r="F3" s="207">
        <v>632469.0</v>
      </c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9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43" width="3.71"/>
    <col customWidth="1" min="44" max="44" width="0.71"/>
  </cols>
  <sheetData>
    <row r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</row>
    <row r="2">
      <c r="A2" s="4" t="s">
        <v>1</v>
      </c>
      <c r="B2" s="5"/>
      <c r="C2" s="5"/>
      <c r="D2" s="5"/>
      <c r="E2" s="5"/>
      <c r="F2" s="5"/>
      <c r="G2" s="6"/>
      <c r="H2" s="4" t="s">
        <v>3</v>
      </c>
      <c r="I2" s="5"/>
      <c r="J2" s="5"/>
      <c r="K2" s="5"/>
      <c r="L2" s="5"/>
      <c r="M2" s="6"/>
      <c r="N2" s="4" t="s">
        <v>269</v>
      </c>
      <c r="O2" s="5"/>
      <c r="P2" s="5"/>
      <c r="Q2" s="5"/>
      <c r="R2" s="5"/>
      <c r="S2" s="6"/>
      <c r="T2" s="4" t="s">
        <v>270</v>
      </c>
      <c r="U2" s="5"/>
      <c r="V2" s="5"/>
      <c r="W2" s="5"/>
      <c r="X2" s="5"/>
      <c r="Y2" s="6"/>
      <c r="Z2" s="4" t="s">
        <v>271</v>
      </c>
      <c r="AA2" s="5"/>
      <c r="AB2" s="5"/>
      <c r="AC2" s="5"/>
      <c r="AD2" s="5"/>
      <c r="AE2" s="6"/>
      <c r="AF2" s="4"/>
      <c r="AG2" s="5"/>
      <c r="AH2" s="5"/>
      <c r="AI2" s="5"/>
      <c r="AJ2" s="5"/>
      <c r="AK2" s="6"/>
      <c r="AL2" s="4" t="s">
        <v>272</v>
      </c>
      <c r="AM2" s="5"/>
      <c r="AN2" s="5"/>
      <c r="AO2" s="5"/>
      <c r="AP2" s="5"/>
      <c r="AQ2" s="5"/>
      <c r="AR2" s="6"/>
    </row>
    <row r="3">
      <c r="A3" s="7">
        <f>IFERROR(sum(StockOverview!B5:B7),"Check Data")</f>
        <v>268642</v>
      </c>
      <c r="G3" s="8"/>
      <c r="H3" s="210">
        <f>IFERROR(SUM(StockOverview!B12:B19),"")</f>
        <v>277335</v>
      </c>
      <c r="M3" s="8"/>
      <c r="N3" s="7" t="str">
        <f>IFERROR(__xludf.DUMMYFUNCTION("SUM(FILTER(Sales!I:I,Sales!A:A &gt;= IF(TIME(HOUR(NOW()),MINUTE(NOW()),0) &lt; TIME(8,0,0),TODAY()-1 + TIME(8,0,0),TODAY() + TIME(8,0,0)),Sales!A:A &lt; IF(TIME(HOUR(NOW()),MINUTE(NOW()),0) &lt; TIME(8,0,0),TODAY() + TIME(8,0,0),TODAY()+1 + TIME(8,0,0))))"),"#N/A")</f>
        <v>#N/A</v>
      </c>
      <c r="S3" s="8"/>
      <c r="T3" s="7">
        <f>SUMIF(Sales!C:C,AL14,Sales!I:I)</f>
        <v>521301</v>
      </c>
      <c r="Y3" s="8"/>
      <c r="Z3" s="7">
        <f>sumifs(Sales!$I:$I,Sales!$F:$F,$AL$11,Sales!$C:$C,$AL$14,Sales!$D:$D,$AL$16)</f>
        <v>63304</v>
      </c>
      <c r="AE3" s="8"/>
      <c r="AF3" s="7"/>
      <c r="AK3" s="8"/>
      <c r="AL3" s="7">
        <f>sumifs(Sales!$I:$I,Sales!$F:$F,$AL$11,Sales!$C:$C,$AL$14,Sales!$D:$D,$AL$16)</f>
        <v>63304</v>
      </c>
      <c r="AR3" s="8"/>
    </row>
    <row r="4">
      <c r="A4" s="9"/>
      <c r="B4" s="10"/>
      <c r="C4" s="10"/>
      <c r="D4" s="10"/>
      <c r="E4" s="10"/>
      <c r="F4" s="10"/>
      <c r="G4" s="11"/>
      <c r="H4" s="9"/>
      <c r="I4" s="10"/>
      <c r="J4" s="10"/>
      <c r="K4" s="10"/>
      <c r="L4" s="10"/>
      <c r="M4" s="11"/>
      <c r="N4" s="9"/>
      <c r="O4" s="10"/>
      <c r="P4" s="10"/>
      <c r="Q4" s="10"/>
      <c r="R4" s="10"/>
      <c r="S4" s="11"/>
      <c r="T4" s="9"/>
      <c r="U4" s="10"/>
      <c r="V4" s="10"/>
      <c r="W4" s="10"/>
      <c r="X4" s="10"/>
      <c r="Y4" s="11"/>
      <c r="Z4" s="9"/>
      <c r="AA4" s="10"/>
      <c r="AB4" s="10"/>
      <c r="AC4" s="10"/>
      <c r="AD4" s="10"/>
      <c r="AE4" s="11"/>
      <c r="AF4" s="9"/>
      <c r="AG4" s="10"/>
      <c r="AH4" s="10"/>
      <c r="AI4" s="10"/>
      <c r="AJ4" s="10"/>
      <c r="AK4" s="11"/>
      <c r="AL4" s="9"/>
      <c r="AM4" s="10"/>
      <c r="AN4" s="10"/>
      <c r="AO4" s="10"/>
      <c r="AP4" s="10"/>
      <c r="AQ4" s="10"/>
      <c r="AR4" s="11"/>
    </row>
    <row r="5">
      <c r="A5" s="12"/>
      <c r="B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R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</row>
    <row r="6" ht="15.75" customHeight="1">
      <c r="A6" s="12"/>
      <c r="B6" s="211" t="s">
        <v>273</v>
      </c>
      <c r="L6" s="212"/>
      <c r="M6" s="212"/>
      <c r="N6" s="212"/>
      <c r="O6" s="212"/>
      <c r="P6" s="212"/>
      <c r="Q6" s="212"/>
      <c r="R6" s="212"/>
      <c r="AC6" s="213" t="s">
        <v>274</v>
      </c>
      <c r="AD6" s="214"/>
      <c r="AE6" s="215"/>
      <c r="AF6" s="216"/>
      <c r="AG6" s="216"/>
      <c r="AH6" s="216"/>
      <c r="AI6" s="216"/>
      <c r="AJ6" s="214"/>
      <c r="AK6" s="12"/>
      <c r="AL6" s="217" t="s">
        <v>61</v>
      </c>
      <c r="AM6" s="16"/>
      <c r="AN6" s="16"/>
      <c r="AO6" s="16"/>
      <c r="AP6" s="16"/>
      <c r="AQ6" s="18"/>
      <c r="AR6" s="21"/>
    </row>
    <row r="7" ht="15.75" customHeight="1">
      <c r="A7" s="12"/>
      <c r="B7" s="15" t="s">
        <v>7</v>
      </c>
      <c r="C7" s="16"/>
      <c r="D7" s="16"/>
      <c r="E7" s="16"/>
      <c r="F7" s="16"/>
      <c r="G7" s="17" t="s">
        <v>8</v>
      </c>
      <c r="H7" s="17"/>
      <c r="I7" s="17"/>
      <c r="J7" s="17"/>
      <c r="K7" s="218"/>
      <c r="L7" s="212"/>
      <c r="M7" s="212"/>
      <c r="N7" s="219" t="s">
        <v>275</v>
      </c>
      <c r="Q7" s="219" t="s">
        <v>55</v>
      </c>
      <c r="AK7" s="12"/>
      <c r="AL7" s="220">
        <f>TODAY()</f>
        <v>45921</v>
      </c>
      <c r="AM7" s="16"/>
      <c r="AN7" s="16"/>
      <c r="AO7" s="16"/>
      <c r="AP7" s="16"/>
      <c r="AQ7" s="18"/>
      <c r="AR7" s="30"/>
    </row>
    <row r="8">
      <c r="A8" s="12"/>
      <c r="B8" s="22" t="s">
        <v>10</v>
      </c>
      <c r="C8" s="10"/>
      <c r="D8" s="10"/>
      <c r="E8" s="23"/>
      <c r="F8" s="24"/>
      <c r="G8" s="221" t="str">
        <f>sum(#REF!,'T-01 Activities'!J:J)-sum('T-01 Activities'!H:H)</f>
        <v>#REF!</v>
      </c>
      <c r="H8" s="23"/>
      <c r="I8" s="10"/>
      <c r="J8" s="10"/>
      <c r="K8" s="11"/>
      <c r="N8" s="222" t="s">
        <v>10</v>
      </c>
      <c r="O8" s="223"/>
      <c r="P8" s="224"/>
      <c r="Q8" s="225"/>
      <c r="R8" s="223"/>
      <c r="S8" s="223"/>
      <c r="T8" s="223"/>
      <c r="U8" s="224"/>
      <c r="AC8" s="42" t="s">
        <v>17</v>
      </c>
      <c r="AD8" s="16"/>
      <c r="AE8" s="16"/>
      <c r="AF8" s="16"/>
      <c r="AG8" s="42" t="s">
        <v>8</v>
      </c>
      <c r="AH8" s="16"/>
      <c r="AI8" s="16"/>
      <c r="AJ8" s="18"/>
    </row>
    <row r="9">
      <c r="A9" s="12"/>
      <c r="B9" s="226" t="s">
        <v>13</v>
      </c>
      <c r="C9" s="16"/>
      <c r="D9" s="16"/>
      <c r="E9" s="34"/>
      <c r="F9" s="35"/>
      <c r="G9" s="227" t="str">
        <f>sum(#REF!,TSM!J:J)-sum(TSM!H:H)</f>
        <v>#REF!</v>
      </c>
      <c r="H9" s="34"/>
      <c r="I9" s="16"/>
      <c r="J9" s="16"/>
      <c r="K9" s="18"/>
      <c r="O9" s="32"/>
      <c r="R9" s="12"/>
      <c r="AC9" s="45" t="s">
        <v>18</v>
      </c>
      <c r="AD9" s="16"/>
      <c r="AE9" s="16"/>
      <c r="AF9" s="18"/>
      <c r="AG9" s="46" t="str">
        <f>VLOOKUP(AC9,StockOverview!A11:B11,2,false)</f>
        <v>#N/A</v>
      </c>
      <c r="AH9" s="16"/>
      <c r="AI9" s="16"/>
      <c r="AJ9" s="18"/>
      <c r="AK9" s="12"/>
      <c r="AL9" s="228" t="s">
        <v>276</v>
      </c>
      <c r="AM9" s="38"/>
      <c r="AN9" s="38"/>
      <c r="AO9" s="38"/>
      <c r="AP9" s="38"/>
      <c r="AQ9" s="38"/>
      <c r="AR9" s="38"/>
    </row>
    <row r="10">
      <c r="A10" s="12"/>
      <c r="B10" s="226" t="s">
        <v>16</v>
      </c>
      <c r="C10" s="16"/>
      <c r="D10" s="16"/>
      <c r="E10" s="39"/>
      <c r="F10" s="40"/>
      <c r="G10" s="227">
        <v>0.0</v>
      </c>
      <c r="H10" s="39"/>
      <c r="I10" s="16"/>
      <c r="J10" s="16"/>
      <c r="K10" s="18"/>
      <c r="O10" s="44"/>
      <c r="R10" s="12"/>
      <c r="AC10" s="45" t="s">
        <v>22</v>
      </c>
      <c r="AD10" s="16"/>
      <c r="AE10" s="16"/>
      <c r="AF10" s="18"/>
      <c r="AG10" s="50">
        <f>VLOOKUP(AC10,StockOverview!A12:B20,2,false)</f>
        <v>35161</v>
      </c>
      <c r="AH10" s="16"/>
      <c r="AI10" s="16"/>
      <c r="AJ10" s="18"/>
      <c r="AK10" s="12"/>
      <c r="AL10" s="229" t="s">
        <v>9</v>
      </c>
      <c r="AM10" s="16"/>
      <c r="AN10" s="16"/>
      <c r="AO10" s="16"/>
      <c r="AP10" s="16"/>
      <c r="AQ10" s="18"/>
      <c r="AR10" s="48"/>
    </row>
    <row r="11">
      <c r="A11" s="12"/>
      <c r="B11" s="31"/>
      <c r="D11" s="12"/>
      <c r="E11" s="12"/>
      <c r="F11" s="12"/>
      <c r="G11" s="12"/>
      <c r="H11" s="12"/>
      <c r="I11" s="12"/>
      <c r="K11" s="12"/>
      <c r="L11" s="12"/>
      <c r="M11" s="12"/>
      <c r="N11" s="12"/>
      <c r="O11" s="12"/>
      <c r="R11" s="12"/>
      <c r="AC11" s="45" t="s">
        <v>25</v>
      </c>
      <c r="AD11" s="16"/>
      <c r="AE11" s="16"/>
      <c r="AF11" s="18"/>
      <c r="AG11" s="50">
        <f>VLOOKUP(AC11,StockOverview!A13:B20,2,false)</f>
        <v>5493</v>
      </c>
      <c r="AH11" s="16"/>
      <c r="AI11" s="16"/>
      <c r="AJ11" s="18"/>
      <c r="AK11" s="12"/>
      <c r="AL11" s="230" t="s">
        <v>136</v>
      </c>
      <c r="AM11" s="231"/>
      <c r="AN11" s="231"/>
      <c r="AO11" s="231"/>
      <c r="AP11" s="231"/>
      <c r="AQ11" s="232"/>
      <c r="AR11" s="52"/>
    </row>
    <row r="12">
      <c r="A12" s="12"/>
      <c r="B12" s="233" t="s">
        <v>277</v>
      </c>
      <c r="O12" s="12"/>
      <c r="R12" s="12"/>
      <c r="S12" s="12"/>
      <c r="AC12" s="45" t="s">
        <v>29</v>
      </c>
      <c r="AD12" s="16"/>
      <c r="AE12" s="16"/>
      <c r="AF12" s="18"/>
      <c r="AG12" s="50">
        <f>VLOOKUP(AC12,StockOverview!A14:B20,2,false)</f>
        <v>54990</v>
      </c>
      <c r="AH12" s="16"/>
      <c r="AI12" s="16"/>
      <c r="AJ12" s="18"/>
      <c r="AK12" s="12"/>
    </row>
    <row r="13">
      <c r="A13" s="12"/>
      <c r="B13" s="234" t="s">
        <v>278</v>
      </c>
      <c r="C13" s="16"/>
      <c r="D13" s="16"/>
      <c r="E13" s="16"/>
      <c r="F13" s="16"/>
      <c r="G13" s="235" t="s">
        <v>279</v>
      </c>
      <c r="H13" s="16"/>
      <c r="I13" s="16"/>
      <c r="J13" s="235" t="s">
        <v>280</v>
      </c>
      <c r="K13" s="16"/>
      <c r="L13" s="18"/>
      <c r="O13" s="12"/>
      <c r="R13" s="12"/>
      <c r="AB13" s="12"/>
      <c r="AC13" s="45" t="s">
        <v>31</v>
      </c>
      <c r="AD13" s="16"/>
      <c r="AE13" s="16"/>
      <c r="AF13" s="18"/>
      <c r="AG13" s="46" t="str">
        <f>VLOOKUP(AC13,#REF!,2,false)</f>
        <v>#REF!</v>
      </c>
      <c r="AH13" s="16"/>
      <c r="AI13" s="16"/>
      <c r="AJ13" s="18"/>
      <c r="AK13" s="12"/>
      <c r="AL13" s="229" t="s">
        <v>281</v>
      </c>
      <c r="AM13" s="16"/>
      <c r="AN13" s="16"/>
      <c r="AO13" s="16"/>
      <c r="AP13" s="16"/>
      <c r="AQ13" s="18"/>
      <c r="AR13" s="48"/>
    </row>
    <row r="14">
      <c r="A14" s="12"/>
      <c r="B14" s="236" t="s">
        <v>282</v>
      </c>
      <c r="C14" s="10"/>
      <c r="D14" s="10"/>
      <c r="E14" s="10"/>
      <c r="F14" s="11"/>
      <c r="G14" s="237"/>
      <c r="H14" s="10"/>
      <c r="I14" s="11"/>
      <c r="J14" s="238" t="str">
        <f>sum(SUMIF('T-01 Activities'!E:E,"Discharge",'T-01 Activities'!K:K),SUMIF(TSM!E:E,"Discharge",TSM!K:K),SUMIF('T-03 Activities'!D:D,"Discharge",'T-03 Activities'!J:J))</f>
        <v>#N/A</v>
      </c>
      <c r="K14" s="10"/>
      <c r="L14" s="11"/>
      <c r="M14" s="12"/>
      <c r="N14" s="12"/>
      <c r="O14" s="12"/>
      <c r="R14" s="12"/>
      <c r="S14" s="12"/>
      <c r="AB14" s="12"/>
      <c r="AC14" s="45" t="s">
        <v>35</v>
      </c>
      <c r="AD14" s="16"/>
      <c r="AE14" s="16"/>
      <c r="AF14" s="18"/>
      <c r="AG14" s="46" t="str">
        <f>VLOOKUP(AC14,StockOverview!A22:B22,2,false)</f>
        <v>#N/A</v>
      </c>
      <c r="AH14" s="16"/>
      <c r="AI14" s="16"/>
      <c r="AJ14" s="18"/>
      <c r="AK14" s="12"/>
      <c r="AL14" s="239" t="s">
        <v>283</v>
      </c>
      <c r="AM14" s="240"/>
      <c r="AN14" s="240"/>
      <c r="AO14" s="240"/>
      <c r="AP14" s="240"/>
      <c r="AQ14" s="241"/>
      <c r="AR14" s="61"/>
    </row>
    <row r="15">
      <c r="A15" s="12"/>
      <c r="B15" s="45" t="s">
        <v>284</v>
      </c>
      <c r="C15" s="16"/>
      <c r="D15" s="16"/>
      <c r="E15" s="16"/>
      <c r="F15" s="18"/>
      <c r="G15" s="242" t="str">
        <f>sum(sumif('T-01 Activities'!E:E,"Loading",'T-01 Activities'!G:G),sumif(TSM!E:E,"Loading",TSM!G:G),sumif('T-03 Activities'!D:D,"Loading",'T-03 Activities'!F:F))</f>
        <v>#N/A</v>
      </c>
      <c r="H15" s="16"/>
      <c r="I15" s="18"/>
      <c r="J15" s="243"/>
      <c r="K15" s="16"/>
      <c r="L15" s="18"/>
      <c r="M15" s="12"/>
      <c r="N15" s="12"/>
      <c r="O15" s="12"/>
      <c r="P15" s="12"/>
      <c r="R15" s="12"/>
      <c r="S15" s="12"/>
      <c r="AB15" s="12"/>
      <c r="AC15" s="45" t="s">
        <v>36</v>
      </c>
      <c r="AD15" s="16"/>
      <c r="AE15" s="16"/>
      <c r="AF15" s="18"/>
      <c r="AG15" s="46" t="str">
        <f>VLOOKUP(AC15,StockOverview!A22:B23,2,false)</f>
        <v>#N/A</v>
      </c>
      <c r="AH15" s="16"/>
      <c r="AI15" s="16"/>
      <c r="AJ15" s="18"/>
      <c r="AK15" s="12"/>
      <c r="AL15" s="54" t="s">
        <v>285</v>
      </c>
      <c r="AO15" s="12"/>
      <c r="AP15" s="12"/>
      <c r="AQ15" s="12"/>
      <c r="AR15" s="12"/>
    </row>
    <row r="16">
      <c r="A16" s="12"/>
      <c r="B16" s="244" t="s">
        <v>286</v>
      </c>
      <c r="C16" s="16"/>
      <c r="D16" s="16"/>
      <c r="E16" s="16"/>
      <c r="F16" s="18"/>
      <c r="G16" s="245"/>
      <c r="H16" s="16"/>
      <c r="I16" s="18"/>
      <c r="J16" s="246"/>
      <c r="K16" s="16"/>
      <c r="L16" s="18"/>
      <c r="M16" s="12"/>
      <c r="N16" s="12"/>
      <c r="O16" s="12"/>
      <c r="P16" s="12"/>
      <c r="Q16" s="12"/>
      <c r="R16" s="12"/>
      <c r="S16" s="12"/>
      <c r="AB16" s="12"/>
      <c r="AC16" s="45" t="s">
        <v>38</v>
      </c>
      <c r="AD16" s="16"/>
      <c r="AE16" s="16"/>
      <c r="AF16" s="18"/>
      <c r="AG16" s="46" t="str">
        <f>VLOOKUP(AC16,StockOverview!A22:B24,2,false)</f>
        <v>#N/A</v>
      </c>
      <c r="AH16" s="16"/>
      <c r="AI16" s="16"/>
      <c r="AJ16" s="18"/>
      <c r="AK16" s="12"/>
      <c r="AL16" s="247">
        <v>2025.0</v>
      </c>
      <c r="AM16" s="16"/>
      <c r="AN16" s="18"/>
      <c r="AO16" s="12"/>
      <c r="AP16" s="12"/>
      <c r="AQ16" s="12"/>
      <c r="AR16" s="12"/>
    </row>
    <row r="17">
      <c r="A17" s="12"/>
      <c r="B17" s="248"/>
      <c r="G17" s="249"/>
      <c r="J17" s="249"/>
      <c r="AC17" s="72" t="s">
        <v>60</v>
      </c>
      <c r="AD17" s="16"/>
      <c r="AE17" s="16"/>
      <c r="AF17" s="18"/>
      <c r="AG17" s="46" t="str">
        <f>VLOOKUP(AC17,StockOverview!A22:B25,2,false)</f>
        <v>#N/A</v>
      </c>
      <c r="AH17" s="16"/>
      <c r="AI17" s="16"/>
      <c r="AJ17" s="18"/>
    </row>
    <row r="18">
      <c r="A18" s="12"/>
      <c r="B18" s="248"/>
      <c r="G18" s="249"/>
      <c r="J18" s="249"/>
      <c r="M18" s="12"/>
      <c r="N18" s="12"/>
      <c r="O18" s="12"/>
      <c r="P18" s="12"/>
      <c r="Q18" s="12"/>
      <c r="R18" s="12"/>
      <c r="S18" s="12"/>
      <c r="T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  <row r="19">
      <c r="A19" s="12"/>
      <c r="B19" s="3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>
      <c r="A20" s="12"/>
      <c r="B20" s="3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ht="15.75" customHeight="1">
      <c r="A21" s="12"/>
      <c r="B21" s="3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ht="15.75" customHeight="1">
      <c r="A22" s="12"/>
      <c r="B22" s="3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ht="15.75" customHeight="1">
      <c r="A23" s="12"/>
      <c r="B23" s="3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</row>
    <row r="24" ht="15.75" customHeight="1">
      <c r="A24" s="12"/>
      <c r="B24" s="3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 ht="15.75" customHeight="1">
      <c r="A25" s="12"/>
      <c r="B25" s="3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</row>
    <row r="26" ht="15.75" customHeight="1">
      <c r="A26" s="12"/>
      <c r="B26" s="3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</row>
    <row r="27" ht="15.75" customHeight="1">
      <c r="A27" s="12"/>
      <c r="B27" s="3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</row>
    <row r="28" ht="15.75" customHeight="1">
      <c r="A28" s="12"/>
      <c r="B28" s="3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</row>
    <row r="29" ht="15.75" customHeight="1">
      <c r="A29" s="12"/>
      <c r="B29" s="3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 ht="15.75" customHeight="1">
      <c r="A30" s="12"/>
      <c r="B30" s="3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ht="15.75" customHeight="1">
      <c r="A31" s="12"/>
      <c r="B31" s="3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</row>
    <row r="32" ht="15.75" customHeight="1">
      <c r="A32" s="12"/>
      <c r="B32" s="3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</row>
    <row r="33" ht="15.75" customHeight="1">
      <c r="A33" s="12"/>
      <c r="B33" s="3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</row>
    <row r="34" ht="15.75" customHeight="1">
      <c r="A34" s="12"/>
      <c r="B34" s="3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</row>
    <row r="35" ht="15.75" customHeight="1">
      <c r="A35" s="74"/>
      <c r="B35" s="75"/>
      <c r="C35" s="76"/>
      <c r="D35" s="77"/>
      <c r="E35" s="78"/>
      <c r="F35" s="76"/>
      <c r="G35" s="79"/>
      <c r="H35" s="79"/>
      <c r="I35" s="80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ht="15.75" customHeight="1">
      <c r="A36" s="81"/>
      <c r="B36" s="82"/>
      <c r="C36" s="12"/>
      <c r="D36" s="83"/>
      <c r="E36" s="12"/>
      <c r="F36" s="12"/>
      <c r="G36" s="12"/>
      <c r="H36" s="12"/>
      <c r="I36" s="8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</row>
    <row r="37" ht="15.75" customHeight="1">
      <c r="A37" s="85"/>
      <c r="B37" s="82"/>
      <c r="C37" s="12"/>
      <c r="D37" s="83"/>
      <c r="E37" s="12"/>
      <c r="F37" s="12"/>
      <c r="G37" s="86"/>
      <c r="H37" s="86"/>
      <c r="I37" s="8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ht="15.75" customHeight="1">
      <c r="A38" s="85"/>
      <c r="B38" s="82"/>
      <c r="C38" s="12"/>
      <c r="D38" s="12"/>
      <c r="E38" s="87"/>
      <c r="F38" s="12"/>
      <c r="G38" s="86"/>
      <c r="H38" s="86"/>
      <c r="I38" s="8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 ht="15.75" customHeight="1">
      <c r="A39" s="88"/>
      <c r="B39" s="89"/>
      <c r="C39" s="90"/>
      <c r="D39" s="90"/>
      <c r="E39" s="90"/>
      <c r="F39" s="90"/>
      <c r="G39" s="90"/>
      <c r="H39" s="90"/>
      <c r="I39" s="9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</row>
    <row r="40" ht="15.75" customHeight="1">
      <c r="A40" s="12"/>
      <c r="B40" s="3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</row>
    <row r="41" ht="15.75" customHeight="1">
      <c r="A41" s="12"/>
      <c r="B41" s="3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</row>
    <row r="42" ht="15.75" customHeight="1">
      <c r="A42" s="12"/>
      <c r="B42" s="3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</row>
    <row r="43" ht="15.75" customHeight="1">
      <c r="A43" s="12"/>
      <c r="B43" s="3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 ht="15.75" customHeight="1">
      <c r="A44" s="12"/>
      <c r="B44" s="3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  <row r="45" ht="15.75" customHeight="1">
      <c r="A45" s="12"/>
      <c r="B45" s="3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</row>
    <row r="46" ht="15.75" customHeight="1">
      <c r="A46" s="12"/>
      <c r="B46" s="3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</row>
    <row r="47" ht="15.75" customHeight="1">
      <c r="A47" s="12"/>
      <c r="B47" s="3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</row>
    <row r="48" ht="15.75" customHeight="1">
      <c r="A48" s="12"/>
      <c r="B48" s="3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</row>
    <row r="49" ht="15.75" customHeight="1">
      <c r="A49" s="12"/>
      <c r="B49" s="3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  <row r="50" ht="15.75" customHeight="1">
      <c r="A50" s="12"/>
      <c r="B50" s="3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 ht="15.75" customHeight="1">
      <c r="A51" s="12"/>
      <c r="B51" s="3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  <row r="52" ht="15.75" customHeight="1">
      <c r="A52" s="12"/>
      <c r="B52" s="3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</row>
    <row r="53" ht="15.75" customHeight="1">
      <c r="A53" s="12"/>
      <c r="B53" s="3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 ht="15.75" customHeight="1">
      <c r="A54" s="12"/>
      <c r="B54" s="3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</row>
    <row r="55" ht="15.75" customHeight="1">
      <c r="A55" s="12"/>
      <c r="B55" s="3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ht="15.75" customHeight="1">
      <c r="A56" s="12"/>
      <c r="B56" s="3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</row>
    <row r="57" ht="15.75" customHeight="1">
      <c r="A57" s="12"/>
      <c r="B57" s="3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</row>
    <row r="58" ht="15.75" customHeight="1">
      <c r="A58" s="12"/>
      <c r="B58" s="3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</row>
    <row r="59" ht="15.75" customHeight="1">
      <c r="A59" s="12"/>
      <c r="B59" s="3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</row>
    <row r="60" ht="15.75" customHeight="1">
      <c r="A60" s="12"/>
      <c r="B60" s="3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</row>
    <row r="61" ht="15.75" customHeight="1">
      <c r="A61" s="12"/>
      <c r="B61" s="3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</row>
    <row r="62" ht="15.75" customHeight="1">
      <c r="A62" s="12"/>
      <c r="B62" s="3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ht="15.75" customHeight="1">
      <c r="A63" s="12"/>
      <c r="B63" s="3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</row>
    <row r="64" ht="15.75" customHeight="1">
      <c r="A64" s="12"/>
      <c r="B64" s="3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</row>
    <row r="65" ht="15.75" customHeight="1">
      <c r="A65" s="12"/>
      <c r="B65" s="3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</row>
    <row r="66" ht="15.75" customHeight="1">
      <c r="A66" s="12"/>
      <c r="B66" s="3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</row>
    <row r="67" ht="15.75" customHeight="1">
      <c r="A67" s="12"/>
      <c r="B67" s="3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</row>
    <row r="68" ht="15.75" customHeight="1">
      <c r="A68" s="12"/>
      <c r="B68" s="3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</row>
    <row r="69" ht="15.75" customHeight="1">
      <c r="A69" s="12"/>
      <c r="B69" s="3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</row>
    <row r="70" ht="15.75" customHeight="1">
      <c r="A70" s="12"/>
      <c r="B70" s="3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</row>
    <row r="71" ht="15.75" customHeight="1">
      <c r="A71" s="12"/>
      <c r="B71" s="3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</row>
    <row r="72" ht="15.75" customHeight="1">
      <c r="A72" s="12"/>
      <c r="B72" s="3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</row>
    <row r="73" ht="15.75" customHeight="1">
      <c r="A73" s="12"/>
      <c r="B73" s="3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</row>
    <row r="74" ht="15.75" customHeight="1">
      <c r="A74" s="12"/>
      <c r="B74" s="3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</row>
    <row r="75" ht="15.75" customHeight="1">
      <c r="A75" s="12"/>
      <c r="B75" s="3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</row>
    <row r="76" ht="15.75" customHeight="1">
      <c r="A76" s="12"/>
      <c r="B76" s="3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</row>
    <row r="77" ht="15.75" customHeight="1">
      <c r="A77" s="12"/>
      <c r="B77" s="3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</row>
    <row r="78" ht="15.75" customHeight="1">
      <c r="A78" s="12"/>
      <c r="B78" s="3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</row>
    <row r="79" ht="15.75" customHeight="1">
      <c r="A79" s="12"/>
      <c r="B79" s="3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</row>
    <row r="80" ht="15.75" customHeight="1">
      <c r="A80" s="12"/>
      <c r="B80" s="3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</row>
    <row r="81" ht="15.75" customHeight="1">
      <c r="A81" s="12"/>
      <c r="B81" s="3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</row>
    <row r="82" ht="15.75" customHeight="1">
      <c r="A82" s="12"/>
      <c r="B82" s="3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</row>
    <row r="83" ht="15.75" customHeight="1">
      <c r="A83" s="12"/>
      <c r="B83" s="3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</row>
    <row r="84" ht="15.75" customHeight="1">
      <c r="A84" s="12"/>
      <c r="B84" s="3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</row>
    <row r="85" ht="15.75" customHeight="1">
      <c r="A85" s="12"/>
      <c r="B85" s="3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</row>
    <row r="86" ht="15.75" customHeight="1">
      <c r="A86" s="12"/>
      <c r="B86" s="3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</row>
    <row r="87" ht="15.75" customHeight="1">
      <c r="A87" s="12"/>
      <c r="B87" s="3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</row>
    <row r="88" ht="15.75" customHeight="1">
      <c r="A88" s="12"/>
      <c r="B88" s="3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</row>
    <row r="89" ht="15.75" customHeight="1">
      <c r="A89" s="12"/>
      <c r="B89" s="3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</row>
    <row r="90" ht="15.75" customHeight="1">
      <c r="A90" s="12"/>
      <c r="B90" s="3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</row>
    <row r="91" ht="15.75" customHeight="1">
      <c r="A91" s="12"/>
      <c r="B91" s="3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</row>
    <row r="92" ht="15.75" customHeight="1">
      <c r="A92" s="12"/>
      <c r="B92" s="3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</row>
    <row r="93" ht="15.75" customHeight="1">
      <c r="A93" s="12"/>
      <c r="B93" s="3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</row>
    <row r="94" ht="15.75" customHeight="1">
      <c r="A94" s="12"/>
      <c r="B94" s="3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</row>
    <row r="95" ht="15.75" customHeight="1">
      <c r="A95" s="12"/>
      <c r="B95" s="3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</row>
    <row r="96" ht="15.75" customHeight="1">
      <c r="A96" s="12"/>
      <c r="B96" s="3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</row>
    <row r="97" ht="15.75" customHeight="1">
      <c r="A97" s="12"/>
      <c r="B97" s="3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</row>
    <row r="98" ht="15.75" customHeight="1">
      <c r="A98" s="12"/>
      <c r="B98" s="3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</row>
    <row r="99" ht="15.75" customHeight="1">
      <c r="A99" s="12"/>
      <c r="B99" s="3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</row>
    <row r="100" ht="15.75" customHeight="1">
      <c r="A100" s="12"/>
      <c r="B100" s="3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</row>
    <row r="101" ht="15.75" customHeight="1">
      <c r="A101" s="12"/>
      <c r="B101" s="3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</row>
    <row r="102" ht="15.75" customHeight="1">
      <c r="A102" s="12"/>
      <c r="B102" s="3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</row>
    <row r="103" ht="15.75" customHeight="1">
      <c r="A103" s="12"/>
      <c r="B103" s="3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</row>
    <row r="104" ht="15.75" customHeight="1">
      <c r="A104" s="12"/>
      <c r="B104" s="3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</row>
    <row r="105" ht="15.75" customHeight="1">
      <c r="A105" s="12"/>
      <c r="B105" s="3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</row>
    <row r="106" ht="15.75" customHeight="1">
      <c r="A106" s="12"/>
      <c r="B106" s="3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</row>
    <row r="107" ht="15.75" customHeight="1">
      <c r="A107" s="12"/>
      <c r="B107" s="3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</row>
    <row r="108" ht="15.75" customHeight="1">
      <c r="A108" s="12"/>
      <c r="B108" s="3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</row>
    <row r="109" ht="15.75" customHeight="1">
      <c r="A109" s="12"/>
      <c r="B109" s="3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</row>
    <row r="110" ht="15.75" customHeight="1">
      <c r="A110" s="12"/>
      <c r="B110" s="3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</row>
    <row r="111" ht="15.75" customHeight="1">
      <c r="A111" s="12"/>
      <c r="B111" s="3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</row>
    <row r="112" ht="15.75" customHeight="1">
      <c r="A112" s="12"/>
      <c r="B112" s="3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</row>
    <row r="113" ht="15.75" customHeight="1">
      <c r="A113" s="12"/>
      <c r="B113" s="3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</row>
    <row r="114" ht="15.75" customHeight="1">
      <c r="A114" s="12"/>
      <c r="B114" s="3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</row>
    <row r="115" ht="15.75" customHeight="1">
      <c r="A115" s="12"/>
      <c r="B115" s="3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</row>
    <row r="116" ht="15.75" customHeight="1">
      <c r="A116" s="12"/>
      <c r="B116" s="3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</row>
    <row r="117" ht="15.75" customHeight="1">
      <c r="A117" s="12"/>
      <c r="B117" s="3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</row>
    <row r="118" ht="15.75" customHeight="1">
      <c r="A118" s="12"/>
      <c r="B118" s="3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</row>
    <row r="119" ht="15.75" customHeight="1">
      <c r="A119" s="12"/>
      <c r="B119" s="3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</row>
    <row r="120" ht="15.75" customHeight="1">
      <c r="A120" s="12"/>
      <c r="B120" s="3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</row>
    <row r="121" ht="15.75" customHeight="1">
      <c r="A121" s="12"/>
      <c r="B121" s="3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</row>
    <row r="122" ht="15.75" customHeight="1">
      <c r="A122" s="12"/>
      <c r="B122" s="3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</row>
    <row r="123" ht="15.75" customHeight="1">
      <c r="A123" s="12"/>
      <c r="B123" s="3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</row>
    <row r="124" ht="15.75" customHeight="1">
      <c r="A124" s="12"/>
      <c r="B124" s="3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</row>
    <row r="125" ht="15.75" customHeight="1">
      <c r="A125" s="12"/>
      <c r="B125" s="3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</row>
    <row r="126" ht="15.75" customHeight="1">
      <c r="A126" s="12"/>
      <c r="B126" s="3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</row>
    <row r="127" ht="15.75" customHeight="1">
      <c r="A127" s="12"/>
      <c r="B127" s="3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</row>
    <row r="128" ht="15.75" customHeight="1">
      <c r="A128" s="12"/>
      <c r="B128" s="3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</row>
    <row r="129" ht="15.75" customHeight="1">
      <c r="A129" s="12"/>
      <c r="B129" s="3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</row>
    <row r="130" ht="15.75" customHeight="1">
      <c r="A130" s="12"/>
      <c r="B130" s="3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</row>
    <row r="131" ht="15.75" customHeight="1">
      <c r="A131" s="12"/>
      <c r="B131" s="3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</row>
    <row r="132" ht="15.75" customHeight="1">
      <c r="A132" s="12"/>
      <c r="B132" s="3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</row>
    <row r="133" ht="15.75" customHeight="1">
      <c r="A133" s="12"/>
      <c r="B133" s="3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  <row r="134" ht="15.75" customHeight="1">
      <c r="A134" s="12"/>
      <c r="B134" s="3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</row>
    <row r="135" ht="15.75" customHeight="1">
      <c r="A135" s="12"/>
      <c r="B135" s="3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</row>
    <row r="136" ht="15.75" customHeight="1">
      <c r="A136" s="12"/>
      <c r="B136" s="3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</row>
    <row r="137" ht="15.75" customHeight="1">
      <c r="A137" s="12"/>
      <c r="B137" s="3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</row>
    <row r="138" ht="15.75" customHeight="1">
      <c r="A138" s="12"/>
      <c r="B138" s="3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</row>
    <row r="139" ht="15.75" customHeight="1">
      <c r="A139" s="12"/>
      <c r="B139" s="3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</row>
    <row r="140" ht="15.75" customHeight="1">
      <c r="A140" s="12"/>
      <c r="B140" s="3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</row>
    <row r="141" ht="15.75" customHeight="1">
      <c r="A141" s="12"/>
      <c r="B141" s="3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</row>
    <row r="142" ht="15.75" customHeight="1">
      <c r="A142" s="12"/>
      <c r="B142" s="3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</row>
    <row r="143" ht="15.75" customHeight="1">
      <c r="A143" s="12"/>
      <c r="B143" s="3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</row>
    <row r="144" ht="15.75" customHeight="1">
      <c r="A144" s="12"/>
      <c r="B144" s="3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</row>
    <row r="145" ht="15.75" customHeight="1">
      <c r="A145" s="12"/>
      <c r="B145" s="3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</row>
    <row r="146" ht="15.75" customHeight="1">
      <c r="A146" s="12"/>
      <c r="B146" s="3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</row>
    <row r="147" ht="15.75" customHeight="1">
      <c r="A147" s="12"/>
      <c r="B147" s="3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</row>
    <row r="148" ht="15.75" customHeight="1">
      <c r="A148" s="12"/>
      <c r="B148" s="3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</row>
    <row r="149" ht="15.75" customHeight="1">
      <c r="A149" s="12"/>
      <c r="B149" s="3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</row>
    <row r="150" ht="15.75" customHeight="1">
      <c r="A150" s="12"/>
      <c r="B150" s="3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</row>
    <row r="151" ht="15.75" customHeight="1">
      <c r="A151" s="12"/>
      <c r="B151" s="3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</row>
    <row r="152" ht="15.75" customHeight="1">
      <c r="A152" s="12"/>
      <c r="B152" s="3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</row>
    <row r="153" ht="15.75" customHeight="1">
      <c r="A153" s="12"/>
      <c r="B153" s="3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</row>
    <row r="154" ht="15.75" customHeight="1">
      <c r="A154" s="12"/>
      <c r="B154" s="3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</row>
    <row r="155" ht="15.75" customHeight="1">
      <c r="A155" s="12"/>
      <c r="B155" s="3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</row>
    <row r="156" ht="15.75" customHeight="1">
      <c r="A156" s="12"/>
      <c r="B156" s="3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</row>
    <row r="157" ht="15.75" customHeight="1">
      <c r="A157" s="12"/>
      <c r="B157" s="3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</row>
    <row r="158" ht="15.75" customHeight="1">
      <c r="A158" s="12"/>
      <c r="B158" s="3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</row>
    <row r="159" ht="15.75" customHeight="1">
      <c r="A159" s="12"/>
      <c r="B159" s="3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</row>
    <row r="160" ht="15.75" customHeight="1">
      <c r="A160" s="12"/>
      <c r="B160" s="3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</row>
    <row r="161" ht="15.75" customHeight="1">
      <c r="A161" s="12"/>
      <c r="B161" s="3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</row>
    <row r="162" ht="15.75" customHeight="1">
      <c r="A162" s="12"/>
      <c r="B162" s="3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</row>
    <row r="163" ht="15.75" customHeight="1">
      <c r="A163" s="12"/>
      <c r="B163" s="3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</row>
    <row r="164" ht="15.75" customHeight="1">
      <c r="A164" s="12"/>
      <c r="B164" s="3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 ht="15.75" customHeight="1">
      <c r="A165" s="12"/>
      <c r="B165" s="3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</row>
    <row r="166" ht="15.75" customHeight="1">
      <c r="A166" s="12"/>
      <c r="B166" s="3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</row>
    <row r="167" ht="15.75" customHeight="1">
      <c r="A167" s="12"/>
      <c r="B167" s="3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</row>
    <row r="168" ht="15.75" customHeight="1">
      <c r="A168" s="12"/>
      <c r="B168" s="3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</row>
    <row r="169" ht="15.75" customHeight="1">
      <c r="A169" s="12"/>
      <c r="B169" s="3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</row>
    <row r="170" ht="15.75" customHeight="1">
      <c r="A170" s="12"/>
      <c r="B170" s="3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</row>
    <row r="171" ht="15.75" customHeight="1">
      <c r="A171" s="12"/>
      <c r="B171" s="3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</row>
    <row r="172" ht="15.75" customHeight="1">
      <c r="A172" s="12"/>
      <c r="B172" s="3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</row>
    <row r="173" ht="15.75" customHeight="1">
      <c r="A173" s="12"/>
      <c r="B173" s="3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</row>
    <row r="174" ht="15.75" customHeight="1">
      <c r="A174" s="12"/>
      <c r="B174" s="3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</row>
    <row r="175" ht="15.75" customHeight="1">
      <c r="A175" s="12"/>
      <c r="B175" s="3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</row>
    <row r="176" ht="15.75" customHeight="1">
      <c r="A176" s="12"/>
      <c r="B176" s="3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  <row r="177" ht="15.75" customHeight="1">
      <c r="A177" s="12"/>
      <c r="B177" s="3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</row>
    <row r="178" ht="15.75" customHeight="1">
      <c r="A178" s="12"/>
      <c r="B178" s="3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</row>
    <row r="179" ht="15.75" customHeight="1">
      <c r="A179" s="12"/>
      <c r="B179" s="3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</row>
    <row r="180" ht="15.75" customHeight="1">
      <c r="A180" s="12"/>
      <c r="B180" s="3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</row>
    <row r="181" ht="15.75" customHeight="1">
      <c r="A181" s="12"/>
      <c r="B181" s="3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</row>
    <row r="182" ht="15.75" customHeight="1">
      <c r="A182" s="12"/>
      <c r="B182" s="3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</row>
    <row r="183" ht="15.75" customHeight="1">
      <c r="A183" s="12"/>
      <c r="B183" s="3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</row>
    <row r="184" ht="15.75" customHeight="1">
      <c r="A184" s="12"/>
      <c r="B184" s="3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</row>
    <row r="185" ht="15.75" customHeight="1">
      <c r="A185" s="12"/>
      <c r="B185" s="3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</row>
    <row r="186" ht="15.75" customHeight="1">
      <c r="A186" s="12"/>
      <c r="B186" s="3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</row>
    <row r="187" ht="15.75" customHeight="1">
      <c r="A187" s="12"/>
      <c r="B187" s="3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</row>
    <row r="188" ht="15.75" customHeight="1">
      <c r="A188" s="12"/>
      <c r="B188" s="3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</row>
    <row r="189" ht="15.75" customHeight="1">
      <c r="A189" s="12"/>
      <c r="B189" s="3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</row>
    <row r="190" ht="15.75" customHeight="1">
      <c r="A190" s="12"/>
      <c r="B190" s="3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</row>
    <row r="191" ht="15.75" customHeight="1">
      <c r="A191" s="12"/>
      <c r="B191" s="3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</row>
    <row r="192" ht="15.75" customHeight="1">
      <c r="A192" s="12"/>
      <c r="B192" s="3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</row>
    <row r="193" ht="15.75" customHeight="1">
      <c r="A193" s="12"/>
      <c r="B193" s="3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</row>
    <row r="194" ht="15.75" customHeight="1">
      <c r="A194" s="12"/>
      <c r="B194" s="3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</row>
    <row r="195" ht="15.75" customHeight="1">
      <c r="A195" s="12"/>
      <c r="B195" s="3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</row>
    <row r="196" ht="15.75" customHeight="1">
      <c r="A196" s="12"/>
      <c r="B196" s="3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</row>
    <row r="197" ht="15.75" customHeight="1">
      <c r="A197" s="12"/>
      <c r="B197" s="3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</row>
    <row r="198" ht="15.75" customHeight="1">
      <c r="A198" s="12"/>
      <c r="B198" s="3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</row>
    <row r="199" ht="15.75" customHeight="1">
      <c r="A199" s="12"/>
      <c r="B199" s="3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</row>
    <row r="200" ht="15.75" customHeight="1">
      <c r="A200" s="12"/>
      <c r="B200" s="3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</row>
    <row r="201" ht="15.75" customHeight="1">
      <c r="A201" s="12"/>
      <c r="B201" s="3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</row>
    <row r="202" ht="15.75" customHeight="1">
      <c r="A202" s="12"/>
      <c r="B202" s="3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</row>
    <row r="203" ht="15.75" customHeight="1">
      <c r="A203" s="12"/>
      <c r="B203" s="3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</row>
    <row r="204" ht="15.75" customHeight="1">
      <c r="A204" s="12"/>
      <c r="B204" s="3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</row>
    <row r="205" ht="15.75" customHeight="1">
      <c r="A205" s="12"/>
      <c r="B205" s="3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</row>
    <row r="206" ht="15.75" customHeight="1">
      <c r="A206" s="12"/>
      <c r="B206" s="3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</row>
    <row r="207" ht="15.75" customHeight="1">
      <c r="A207" s="12"/>
      <c r="B207" s="3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</row>
    <row r="208" ht="15.75" customHeight="1">
      <c r="A208" s="12"/>
      <c r="B208" s="3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</row>
    <row r="209" ht="15.75" customHeight="1">
      <c r="A209" s="12"/>
      <c r="B209" s="3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</row>
    <row r="210" ht="15.75" customHeight="1">
      <c r="A210" s="12"/>
      <c r="B210" s="3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</row>
    <row r="211" ht="15.75" customHeight="1">
      <c r="A211" s="12"/>
      <c r="B211" s="3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</row>
    <row r="212" ht="15.75" customHeight="1">
      <c r="A212" s="12"/>
      <c r="B212" s="3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</row>
    <row r="213" ht="15.75" customHeight="1">
      <c r="A213" s="12"/>
      <c r="B213" s="3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</row>
    <row r="214" ht="15.75" customHeight="1">
      <c r="A214" s="12"/>
      <c r="B214" s="3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</row>
    <row r="215" ht="15.75" customHeight="1">
      <c r="A215" s="12"/>
      <c r="B215" s="3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</row>
    <row r="216" ht="15.75" customHeight="1">
      <c r="A216" s="12"/>
      <c r="B216" s="3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</row>
    <row r="217" ht="15.75" customHeight="1">
      <c r="A217" s="12"/>
      <c r="B217" s="3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</row>
    <row r="218" ht="15.75" customHeight="1">
      <c r="A218" s="12"/>
      <c r="B218" s="3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</row>
    <row r="219" ht="15.75" customHeight="1">
      <c r="A219" s="12"/>
      <c r="B219" s="3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</row>
    <row r="220" ht="15.75" customHeight="1">
      <c r="A220" s="12"/>
      <c r="B220" s="3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</row>
    <row r="221" ht="15.75" customHeight="1">
      <c r="A221" s="12"/>
      <c r="B221" s="3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</row>
    <row r="222" ht="15.75" customHeight="1">
      <c r="A222" s="12"/>
      <c r="B222" s="3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</row>
    <row r="223" ht="15.75" customHeight="1">
      <c r="A223" s="12"/>
      <c r="B223" s="3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</row>
    <row r="224" ht="15.75" customHeight="1">
      <c r="A224" s="12"/>
      <c r="B224" s="3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</row>
    <row r="225" ht="15.75" customHeight="1">
      <c r="A225" s="12"/>
      <c r="B225" s="3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</row>
    <row r="226" ht="15.75" customHeight="1">
      <c r="A226" s="12"/>
      <c r="B226" s="3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</row>
    <row r="227" ht="15.75" customHeight="1">
      <c r="A227" s="12"/>
      <c r="B227" s="3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</row>
    <row r="228" ht="15.75" customHeight="1">
      <c r="A228" s="12"/>
      <c r="B228" s="3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</row>
    <row r="229" ht="15.75" customHeight="1">
      <c r="A229" s="12"/>
      <c r="B229" s="3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</row>
    <row r="230" ht="15.75" customHeight="1">
      <c r="A230" s="12"/>
      <c r="B230" s="3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</row>
    <row r="231" ht="15.75" customHeight="1">
      <c r="A231" s="12"/>
      <c r="B231" s="3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</row>
    <row r="232" ht="15.75" customHeight="1">
      <c r="A232" s="12"/>
      <c r="B232" s="3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</row>
    <row r="233" ht="15.75" customHeight="1">
      <c r="A233" s="12"/>
      <c r="B233" s="3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</row>
    <row r="234" ht="15.75" customHeight="1">
      <c r="A234" s="12"/>
      <c r="B234" s="3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</row>
    <row r="235" ht="15.75" customHeight="1">
      <c r="A235" s="12"/>
      <c r="B235" s="3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</row>
    <row r="236" ht="15.75" customHeight="1">
      <c r="A236" s="12"/>
      <c r="B236" s="3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</row>
    <row r="237" ht="15.75" customHeight="1">
      <c r="A237" s="12"/>
      <c r="B237" s="3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</row>
    <row r="238" ht="15.75" customHeight="1">
      <c r="A238" s="12"/>
      <c r="B238" s="3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</row>
    <row r="239" ht="15.75" customHeight="1">
      <c r="A239" s="12"/>
      <c r="B239" s="3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</row>
    <row r="240" ht="15.75" customHeight="1">
      <c r="A240" s="12"/>
      <c r="B240" s="3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</row>
    <row r="241" ht="15.75" customHeight="1">
      <c r="A241" s="12"/>
      <c r="B241" s="3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</row>
    <row r="242" ht="15.75" customHeight="1">
      <c r="A242" s="12"/>
      <c r="B242" s="3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</row>
    <row r="243" ht="15.75" customHeight="1">
      <c r="A243" s="12"/>
      <c r="B243" s="3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</row>
    <row r="244" ht="15.75" customHeight="1">
      <c r="A244" s="12"/>
      <c r="B244" s="3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</row>
    <row r="245" ht="15.75" customHeight="1">
      <c r="A245" s="12"/>
      <c r="B245" s="3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</row>
    <row r="246" ht="15.75" customHeight="1">
      <c r="A246" s="12"/>
      <c r="B246" s="3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</row>
    <row r="247" ht="15.75" customHeight="1">
      <c r="A247" s="12"/>
      <c r="B247" s="3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</row>
    <row r="248" ht="15.75" customHeight="1">
      <c r="A248" s="12"/>
      <c r="B248" s="3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</row>
    <row r="249" ht="15.75" customHeight="1">
      <c r="A249" s="12"/>
      <c r="B249" s="3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</row>
    <row r="250" ht="15.75" customHeight="1">
      <c r="A250" s="12"/>
      <c r="B250" s="3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</row>
    <row r="251" ht="15.75" customHeight="1">
      <c r="A251" s="12"/>
      <c r="B251" s="3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</row>
    <row r="252" ht="15.75" customHeight="1">
      <c r="A252" s="12"/>
      <c r="B252" s="3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</row>
    <row r="253" ht="15.75" customHeight="1">
      <c r="A253" s="12"/>
      <c r="B253" s="3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</row>
    <row r="254" ht="15.75" customHeight="1">
      <c r="A254" s="12"/>
      <c r="B254" s="3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</row>
    <row r="255" ht="15.75" customHeight="1">
      <c r="A255" s="12"/>
      <c r="B255" s="3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</row>
    <row r="256" ht="15.75" customHeight="1">
      <c r="A256" s="12"/>
      <c r="B256" s="3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</row>
    <row r="257" ht="15.75" customHeight="1">
      <c r="A257" s="12"/>
      <c r="B257" s="3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</row>
    <row r="258" ht="15.75" customHeight="1">
      <c r="A258" s="12"/>
      <c r="B258" s="3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</row>
    <row r="259" ht="15.75" customHeight="1">
      <c r="A259" s="12"/>
      <c r="B259" s="3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</row>
    <row r="260" ht="15.75" customHeight="1">
      <c r="A260" s="12"/>
      <c r="B260" s="3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</row>
    <row r="261" ht="15.75" customHeight="1">
      <c r="A261" s="12"/>
      <c r="B261" s="3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</row>
    <row r="262" ht="15.75" customHeight="1">
      <c r="A262" s="12"/>
      <c r="B262" s="3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</row>
    <row r="263" ht="15.75" customHeight="1">
      <c r="A263" s="12"/>
      <c r="B263" s="3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</row>
    <row r="264" ht="15.75" customHeight="1">
      <c r="A264" s="12"/>
      <c r="B264" s="3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</row>
    <row r="265" ht="15.75" customHeight="1">
      <c r="A265" s="12"/>
      <c r="B265" s="3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</row>
    <row r="266" ht="15.75" customHeight="1">
      <c r="A266" s="12"/>
      <c r="B266" s="3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</row>
    <row r="267" ht="15.75" customHeight="1">
      <c r="A267" s="12"/>
      <c r="B267" s="3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</row>
    <row r="268" ht="15.75" customHeight="1">
      <c r="A268" s="12"/>
      <c r="B268" s="3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</row>
    <row r="269" ht="15.75" customHeight="1">
      <c r="A269" s="12"/>
      <c r="B269" s="3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</row>
    <row r="270" ht="15.75" customHeight="1">
      <c r="A270" s="12"/>
      <c r="B270" s="3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</row>
    <row r="271" ht="15.75" customHeight="1">
      <c r="A271" s="12"/>
      <c r="B271" s="3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</row>
    <row r="272" ht="15.75" customHeight="1">
      <c r="A272" s="12"/>
      <c r="B272" s="3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</row>
    <row r="273" ht="15.75" customHeight="1">
      <c r="A273" s="12"/>
      <c r="B273" s="3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</row>
    <row r="274" ht="15.75" customHeight="1">
      <c r="A274" s="12"/>
      <c r="B274" s="3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</row>
    <row r="275" ht="15.75" customHeight="1">
      <c r="A275" s="12"/>
      <c r="B275" s="3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</row>
    <row r="276" ht="15.75" customHeight="1">
      <c r="A276" s="12"/>
      <c r="B276" s="3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</row>
    <row r="277" ht="15.75" customHeight="1">
      <c r="A277" s="12"/>
      <c r="B277" s="3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</row>
    <row r="278" ht="15.75" customHeight="1">
      <c r="A278" s="12"/>
      <c r="B278" s="3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</row>
    <row r="279" ht="15.75" customHeight="1">
      <c r="A279" s="12"/>
      <c r="B279" s="3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</row>
    <row r="280" ht="15.75" customHeight="1">
      <c r="A280" s="12"/>
      <c r="B280" s="3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</row>
    <row r="281" ht="15.75" customHeight="1">
      <c r="A281" s="12"/>
      <c r="B281" s="3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</row>
    <row r="282" ht="15.75" customHeight="1">
      <c r="A282" s="12"/>
      <c r="B282" s="3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</row>
    <row r="283" ht="15.75" customHeight="1">
      <c r="A283" s="12"/>
      <c r="B283" s="3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</row>
    <row r="284" ht="15.75" customHeight="1">
      <c r="A284" s="12"/>
      <c r="B284" s="3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</row>
    <row r="285" ht="15.75" customHeight="1">
      <c r="A285" s="12"/>
      <c r="B285" s="3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</row>
    <row r="286" ht="15.75" customHeight="1">
      <c r="A286" s="12"/>
      <c r="B286" s="3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</row>
    <row r="287" ht="15.75" customHeight="1">
      <c r="A287" s="12"/>
      <c r="B287" s="3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</row>
    <row r="288" ht="15.75" customHeight="1">
      <c r="A288" s="12"/>
      <c r="B288" s="3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</row>
    <row r="289" ht="15.75" customHeight="1">
      <c r="A289" s="12"/>
      <c r="B289" s="3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</row>
    <row r="290" ht="15.75" customHeight="1">
      <c r="A290" s="12"/>
      <c r="B290" s="3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</row>
    <row r="291" ht="15.75" customHeight="1">
      <c r="A291" s="12"/>
      <c r="B291" s="3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</row>
    <row r="292" ht="15.75" customHeight="1">
      <c r="A292" s="12"/>
      <c r="B292" s="3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</row>
    <row r="293" ht="15.75" customHeight="1">
      <c r="A293" s="12"/>
      <c r="B293" s="3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</row>
    <row r="294" ht="15.75" customHeight="1">
      <c r="A294" s="12"/>
      <c r="B294" s="3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</row>
    <row r="295" ht="15.75" customHeight="1">
      <c r="A295" s="12"/>
      <c r="B295" s="3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</row>
    <row r="296" ht="15.75" customHeight="1">
      <c r="A296" s="12"/>
      <c r="B296" s="3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</row>
    <row r="297" ht="15.75" customHeight="1">
      <c r="A297" s="12"/>
      <c r="B297" s="3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</row>
    <row r="298" ht="15.75" customHeight="1">
      <c r="A298" s="12"/>
      <c r="B298" s="3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</row>
    <row r="299" ht="15.75" customHeight="1">
      <c r="A299" s="12"/>
      <c r="B299" s="3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</row>
    <row r="300" ht="15.75" customHeight="1">
      <c r="A300" s="12"/>
      <c r="B300" s="3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</row>
    <row r="301" ht="15.75" customHeight="1">
      <c r="A301" s="12"/>
      <c r="B301" s="3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</row>
    <row r="302" ht="15.75" customHeight="1">
      <c r="A302" s="12"/>
      <c r="B302" s="3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</row>
    <row r="303" ht="15.75" customHeight="1">
      <c r="A303" s="12"/>
      <c r="B303" s="3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</row>
    <row r="304" ht="15.75" customHeight="1">
      <c r="A304" s="12"/>
      <c r="B304" s="3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</row>
    <row r="305" ht="15.75" customHeight="1">
      <c r="A305" s="12"/>
      <c r="B305" s="3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</row>
    <row r="306" ht="15.75" customHeight="1">
      <c r="A306" s="12"/>
      <c r="B306" s="3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</row>
    <row r="307" ht="15.75" customHeight="1">
      <c r="A307" s="12"/>
      <c r="B307" s="3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</row>
    <row r="308" ht="15.75" customHeight="1">
      <c r="A308" s="12"/>
      <c r="B308" s="3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</row>
    <row r="309" ht="15.75" customHeight="1">
      <c r="A309" s="12"/>
      <c r="B309" s="3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</row>
    <row r="310" ht="15.75" customHeight="1">
      <c r="A310" s="12"/>
      <c r="B310" s="3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</row>
    <row r="311" ht="15.75" customHeight="1">
      <c r="A311" s="12"/>
      <c r="B311" s="3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</row>
    <row r="312" ht="15.75" customHeight="1">
      <c r="A312" s="12"/>
      <c r="B312" s="3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</row>
    <row r="313" ht="15.75" customHeight="1">
      <c r="A313" s="12"/>
      <c r="B313" s="3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</row>
    <row r="314" ht="15.75" customHeight="1">
      <c r="A314" s="12"/>
      <c r="B314" s="3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</row>
    <row r="315" ht="15.75" customHeight="1">
      <c r="A315" s="12"/>
      <c r="B315" s="3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</row>
    <row r="316" ht="15.75" customHeight="1">
      <c r="A316" s="12"/>
      <c r="B316" s="3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</row>
    <row r="317" ht="15.75" customHeight="1">
      <c r="A317" s="12"/>
      <c r="B317" s="3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</row>
    <row r="318" ht="15.75" customHeight="1">
      <c r="A318" s="12"/>
      <c r="B318" s="3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</row>
    <row r="319" ht="15.75" customHeight="1">
      <c r="A319" s="12"/>
      <c r="B319" s="3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</row>
    <row r="320" ht="15.75" customHeight="1">
      <c r="A320" s="12"/>
      <c r="B320" s="3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</row>
    <row r="321" ht="15.75" customHeight="1">
      <c r="A321" s="12"/>
      <c r="B321" s="3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</row>
    <row r="322" ht="15.75" customHeight="1">
      <c r="A322" s="12"/>
      <c r="B322" s="3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</row>
    <row r="323" ht="15.75" customHeight="1">
      <c r="A323" s="12"/>
      <c r="B323" s="3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</row>
    <row r="324" ht="15.75" customHeight="1">
      <c r="A324" s="12"/>
      <c r="B324" s="3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</row>
    <row r="325" ht="15.75" customHeight="1">
      <c r="A325" s="12"/>
      <c r="B325" s="3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</row>
    <row r="326" ht="15.75" customHeight="1">
      <c r="A326" s="12"/>
      <c r="B326" s="3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</row>
    <row r="327" ht="15.75" customHeight="1">
      <c r="A327" s="12"/>
      <c r="B327" s="3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</row>
    <row r="328" ht="15.75" customHeight="1">
      <c r="A328" s="12"/>
      <c r="B328" s="3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</row>
    <row r="329" ht="15.75" customHeight="1">
      <c r="A329" s="12"/>
      <c r="B329" s="3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</row>
    <row r="330" ht="15.75" customHeight="1">
      <c r="A330" s="12"/>
      <c r="B330" s="3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</row>
    <row r="331" ht="15.75" customHeight="1">
      <c r="A331" s="12"/>
      <c r="B331" s="3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</row>
    <row r="332" ht="15.75" customHeight="1">
      <c r="A332" s="12"/>
      <c r="B332" s="3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</row>
    <row r="333" ht="15.75" customHeight="1">
      <c r="A333" s="12"/>
      <c r="B333" s="3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</row>
    <row r="334" ht="15.75" customHeight="1">
      <c r="A334" s="12"/>
      <c r="B334" s="3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</row>
    <row r="335" ht="15.75" customHeight="1">
      <c r="A335" s="12"/>
      <c r="B335" s="3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</row>
    <row r="336" ht="15.75" customHeight="1">
      <c r="A336" s="12"/>
      <c r="B336" s="3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</row>
    <row r="337" ht="15.75" customHeight="1">
      <c r="A337" s="12"/>
      <c r="B337" s="3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</row>
    <row r="338" ht="15.75" customHeight="1">
      <c r="A338" s="12"/>
      <c r="B338" s="3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</row>
    <row r="339" ht="15.75" customHeight="1">
      <c r="A339" s="12"/>
      <c r="B339" s="3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</row>
    <row r="340" ht="15.75" customHeight="1">
      <c r="A340" s="12"/>
      <c r="B340" s="3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</row>
    <row r="341" ht="15.75" customHeight="1">
      <c r="A341" s="12"/>
      <c r="B341" s="3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</row>
    <row r="342" ht="15.75" customHeight="1">
      <c r="A342" s="12"/>
      <c r="B342" s="3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</row>
    <row r="343" ht="15.75" customHeight="1">
      <c r="A343" s="12"/>
      <c r="B343" s="3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</row>
    <row r="344" ht="15.75" customHeight="1">
      <c r="A344" s="12"/>
      <c r="B344" s="3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</row>
    <row r="345" ht="15.75" customHeight="1">
      <c r="A345" s="12"/>
      <c r="B345" s="3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</row>
    <row r="346" ht="15.75" customHeight="1">
      <c r="A346" s="12"/>
      <c r="B346" s="3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</row>
    <row r="347" ht="15.75" customHeight="1">
      <c r="A347" s="12"/>
      <c r="B347" s="3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</row>
    <row r="348" ht="15.75" customHeight="1">
      <c r="A348" s="12"/>
      <c r="B348" s="3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</row>
    <row r="349" ht="15.75" customHeight="1">
      <c r="A349" s="12"/>
      <c r="B349" s="3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</row>
    <row r="350" ht="15.75" customHeight="1">
      <c r="A350" s="12"/>
      <c r="B350" s="3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</row>
    <row r="351" ht="15.75" customHeight="1">
      <c r="A351" s="12"/>
      <c r="B351" s="3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</row>
    <row r="352" ht="15.75" customHeight="1">
      <c r="A352" s="12"/>
      <c r="B352" s="3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</row>
    <row r="353" ht="15.75" customHeight="1">
      <c r="A353" s="12"/>
      <c r="B353" s="3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</row>
    <row r="354" ht="15.75" customHeight="1">
      <c r="A354" s="12"/>
      <c r="B354" s="3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</row>
    <row r="355" ht="15.75" customHeight="1">
      <c r="A355" s="12"/>
      <c r="B355" s="3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</row>
    <row r="356" ht="15.75" customHeight="1">
      <c r="A356" s="12"/>
      <c r="B356" s="3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</row>
    <row r="357" ht="15.75" customHeight="1">
      <c r="A357" s="12"/>
      <c r="B357" s="3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</row>
    <row r="358" ht="15.75" customHeight="1">
      <c r="A358" s="12"/>
      <c r="B358" s="3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</row>
    <row r="359" ht="15.75" customHeight="1">
      <c r="A359" s="12"/>
      <c r="B359" s="3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</row>
    <row r="360" ht="15.75" customHeight="1">
      <c r="A360" s="12"/>
      <c r="B360" s="3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</row>
    <row r="361" ht="15.75" customHeight="1">
      <c r="A361" s="12"/>
      <c r="B361" s="3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</row>
    <row r="362" ht="15.75" customHeight="1">
      <c r="A362" s="12"/>
      <c r="B362" s="3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</row>
    <row r="363" ht="15.75" customHeight="1">
      <c r="A363" s="12"/>
      <c r="B363" s="3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</row>
    <row r="364" ht="15.75" customHeight="1">
      <c r="A364" s="12"/>
      <c r="B364" s="3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</row>
    <row r="365" ht="15.75" customHeight="1">
      <c r="A365" s="12"/>
      <c r="B365" s="3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</row>
    <row r="366" ht="15.75" customHeight="1">
      <c r="A366" s="12"/>
      <c r="B366" s="3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</row>
    <row r="367" ht="15.75" customHeight="1">
      <c r="A367" s="12"/>
      <c r="B367" s="3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</row>
    <row r="368" ht="15.75" customHeight="1">
      <c r="A368" s="12"/>
      <c r="B368" s="3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</row>
    <row r="369" ht="15.75" customHeight="1">
      <c r="A369" s="12"/>
      <c r="B369" s="3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</row>
    <row r="370" ht="15.75" customHeight="1">
      <c r="A370" s="12"/>
      <c r="B370" s="3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</row>
    <row r="371" ht="15.75" customHeight="1">
      <c r="A371" s="12"/>
      <c r="B371" s="3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</row>
    <row r="372" ht="15.75" customHeight="1">
      <c r="A372" s="12"/>
      <c r="B372" s="3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</row>
    <row r="373" ht="15.75" customHeight="1">
      <c r="A373" s="12"/>
      <c r="B373" s="3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</row>
    <row r="374" ht="15.75" customHeight="1">
      <c r="A374" s="12"/>
      <c r="B374" s="3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</row>
    <row r="375" ht="15.75" customHeight="1">
      <c r="A375" s="12"/>
      <c r="B375" s="3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</row>
    <row r="376" ht="15.75" customHeight="1">
      <c r="A376" s="12"/>
      <c r="B376" s="3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</row>
    <row r="377" ht="15.75" customHeight="1">
      <c r="A377" s="12"/>
      <c r="B377" s="3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</row>
    <row r="378" ht="15.75" customHeight="1">
      <c r="A378" s="12"/>
      <c r="B378" s="3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</row>
    <row r="379" ht="15.75" customHeight="1">
      <c r="A379" s="12"/>
      <c r="B379" s="3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</row>
    <row r="380" ht="15.75" customHeight="1">
      <c r="A380" s="12"/>
      <c r="B380" s="3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</row>
    <row r="381" ht="15.75" customHeight="1">
      <c r="A381" s="12"/>
      <c r="B381" s="3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</row>
    <row r="382" ht="15.75" customHeight="1">
      <c r="A382" s="12"/>
      <c r="B382" s="3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</row>
    <row r="383" ht="15.75" customHeight="1">
      <c r="A383" s="12"/>
      <c r="B383" s="3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</row>
    <row r="384" ht="15.75" customHeight="1">
      <c r="A384" s="12"/>
      <c r="B384" s="3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</row>
    <row r="385" ht="15.75" customHeight="1">
      <c r="A385" s="12"/>
      <c r="B385" s="3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</row>
    <row r="386" ht="15.75" customHeight="1">
      <c r="A386" s="12"/>
      <c r="B386" s="3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</row>
    <row r="387" ht="15.75" customHeight="1">
      <c r="A387" s="12"/>
      <c r="B387" s="3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</row>
    <row r="388" ht="15.75" customHeight="1">
      <c r="A388" s="12"/>
      <c r="B388" s="3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</row>
    <row r="389" ht="15.75" customHeight="1">
      <c r="A389" s="12"/>
      <c r="B389" s="3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</row>
    <row r="390" ht="15.75" customHeight="1">
      <c r="A390" s="12"/>
      <c r="B390" s="3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</row>
    <row r="391" ht="15.75" customHeight="1">
      <c r="A391" s="12"/>
      <c r="B391" s="3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</row>
    <row r="392" ht="15.75" customHeight="1">
      <c r="A392" s="12"/>
      <c r="B392" s="3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</row>
    <row r="393" ht="15.75" customHeight="1">
      <c r="A393" s="12"/>
      <c r="B393" s="3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</row>
    <row r="394" ht="15.75" customHeight="1">
      <c r="A394" s="12"/>
      <c r="B394" s="3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</row>
    <row r="395" ht="15.75" customHeight="1">
      <c r="A395" s="12"/>
      <c r="B395" s="3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</row>
    <row r="396" ht="15.75" customHeight="1">
      <c r="A396" s="12"/>
      <c r="B396" s="3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</row>
    <row r="397" ht="15.75" customHeight="1">
      <c r="A397" s="12"/>
      <c r="B397" s="3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</row>
    <row r="398" ht="15.75" customHeight="1">
      <c r="A398" s="12"/>
      <c r="B398" s="3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</row>
    <row r="399" ht="15.75" customHeight="1">
      <c r="A399" s="12"/>
      <c r="B399" s="3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</row>
    <row r="400" ht="15.75" customHeight="1">
      <c r="A400" s="12"/>
      <c r="B400" s="3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</row>
    <row r="401" ht="15.75" customHeight="1">
      <c r="A401" s="12"/>
      <c r="B401" s="3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</row>
    <row r="402" ht="15.75" customHeight="1">
      <c r="A402" s="12"/>
      <c r="B402" s="3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</row>
    <row r="403" ht="15.75" customHeight="1">
      <c r="A403" s="12"/>
      <c r="B403" s="3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</row>
    <row r="404" ht="15.75" customHeight="1">
      <c r="A404" s="12"/>
      <c r="B404" s="3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</row>
    <row r="405" ht="15.75" customHeight="1">
      <c r="A405" s="12"/>
      <c r="B405" s="3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</row>
    <row r="406" ht="15.75" customHeight="1">
      <c r="A406" s="12"/>
      <c r="B406" s="3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</row>
    <row r="407" ht="15.75" customHeight="1">
      <c r="A407" s="12"/>
      <c r="B407" s="3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</row>
    <row r="408" ht="15.75" customHeight="1">
      <c r="A408" s="12"/>
      <c r="B408" s="3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</row>
    <row r="409" ht="15.75" customHeight="1">
      <c r="A409" s="12"/>
      <c r="B409" s="3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</row>
    <row r="410" ht="15.75" customHeight="1">
      <c r="A410" s="12"/>
      <c r="B410" s="3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</row>
    <row r="411" ht="15.75" customHeight="1">
      <c r="A411" s="12"/>
      <c r="B411" s="3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</row>
    <row r="412" ht="15.75" customHeight="1">
      <c r="A412" s="12"/>
      <c r="B412" s="3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</row>
    <row r="413" ht="15.75" customHeight="1">
      <c r="A413" s="12"/>
      <c r="B413" s="3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</row>
    <row r="414" ht="15.75" customHeight="1">
      <c r="A414" s="12"/>
      <c r="B414" s="3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</row>
    <row r="415" ht="15.75" customHeight="1">
      <c r="A415" s="12"/>
      <c r="B415" s="3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</row>
    <row r="416" ht="15.75" customHeight="1">
      <c r="A416" s="12"/>
      <c r="B416" s="3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</row>
    <row r="417" ht="15.75" customHeight="1">
      <c r="A417" s="12"/>
      <c r="B417" s="3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</row>
    <row r="418" ht="15.75" customHeight="1">
      <c r="A418" s="12"/>
      <c r="B418" s="3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</row>
    <row r="419" ht="15.75" customHeight="1">
      <c r="A419" s="12"/>
      <c r="B419" s="3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</row>
    <row r="420" ht="15.75" customHeight="1">
      <c r="A420" s="12"/>
      <c r="B420" s="3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</row>
    <row r="421" ht="15.75" customHeight="1">
      <c r="A421" s="12"/>
      <c r="B421" s="3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</row>
    <row r="422" ht="15.75" customHeight="1">
      <c r="A422" s="12"/>
      <c r="B422" s="3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</row>
    <row r="423" ht="15.75" customHeight="1">
      <c r="A423" s="12"/>
      <c r="B423" s="3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</row>
    <row r="424" ht="15.75" customHeight="1">
      <c r="A424" s="12"/>
      <c r="B424" s="3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</row>
    <row r="425" ht="15.75" customHeight="1">
      <c r="A425" s="12"/>
      <c r="B425" s="3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</row>
    <row r="426" ht="15.75" customHeight="1">
      <c r="A426" s="12"/>
      <c r="B426" s="3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</row>
    <row r="427" ht="15.75" customHeight="1">
      <c r="A427" s="12"/>
      <c r="B427" s="3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</row>
    <row r="428" ht="15.75" customHeight="1">
      <c r="A428" s="12"/>
      <c r="B428" s="3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</row>
    <row r="429" ht="15.75" customHeight="1">
      <c r="A429" s="12"/>
      <c r="B429" s="3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</row>
    <row r="430" ht="15.75" customHeight="1">
      <c r="A430" s="12"/>
      <c r="B430" s="3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</row>
    <row r="431" ht="15.75" customHeight="1">
      <c r="A431" s="12"/>
      <c r="B431" s="3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</row>
    <row r="432" ht="15.75" customHeight="1">
      <c r="A432" s="12"/>
      <c r="B432" s="3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</row>
    <row r="433" ht="15.75" customHeight="1">
      <c r="A433" s="12"/>
      <c r="B433" s="3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</row>
    <row r="434" ht="15.75" customHeight="1">
      <c r="A434" s="12"/>
      <c r="B434" s="3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</row>
    <row r="435" ht="15.75" customHeight="1">
      <c r="A435" s="12"/>
      <c r="B435" s="3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</row>
    <row r="436" ht="15.75" customHeight="1">
      <c r="A436" s="12"/>
      <c r="B436" s="3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</row>
    <row r="437" ht="15.75" customHeight="1">
      <c r="A437" s="12"/>
      <c r="B437" s="3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</row>
    <row r="438" ht="15.75" customHeight="1">
      <c r="A438" s="12"/>
      <c r="B438" s="3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</row>
    <row r="439" ht="15.75" customHeight="1">
      <c r="A439" s="12"/>
      <c r="B439" s="3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</row>
    <row r="440" ht="15.75" customHeight="1">
      <c r="A440" s="12"/>
      <c r="B440" s="3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</row>
    <row r="441" ht="15.75" customHeight="1">
      <c r="A441" s="12"/>
      <c r="B441" s="3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</row>
    <row r="442" ht="15.75" customHeight="1">
      <c r="A442" s="12"/>
      <c r="B442" s="3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</row>
    <row r="443" ht="15.75" customHeight="1">
      <c r="A443" s="12"/>
      <c r="B443" s="3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</row>
    <row r="444" ht="15.75" customHeight="1">
      <c r="A444" s="12"/>
      <c r="B444" s="3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</row>
    <row r="445" ht="15.75" customHeight="1">
      <c r="A445" s="12"/>
      <c r="B445" s="3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</row>
    <row r="446" ht="15.75" customHeight="1">
      <c r="A446" s="12"/>
      <c r="B446" s="3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</row>
    <row r="447" ht="15.75" customHeight="1">
      <c r="A447" s="12"/>
      <c r="B447" s="3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</row>
    <row r="448" ht="15.75" customHeight="1">
      <c r="A448" s="12"/>
      <c r="B448" s="3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</row>
    <row r="449" ht="15.75" customHeight="1">
      <c r="A449" s="12"/>
      <c r="B449" s="3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</row>
    <row r="450" ht="15.75" customHeight="1">
      <c r="A450" s="12"/>
      <c r="B450" s="3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</row>
    <row r="451" ht="15.75" customHeight="1">
      <c r="A451" s="12"/>
      <c r="B451" s="3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</row>
    <row r="452" ht="15.75" customHeight="1">
      <c r="A452" s="12"/>
      <c r="B452" s="3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</row>
    <row r="453" ht="15.75" customHeight="1">
      <c r="A453" s="12"/>
      <c r="B453" s="3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</row>
    <row r="454" ht="15.75" customHeight="1">
      <c r="A454" s="12"/>
      <c r="B454" s="3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</row>
    <row r="455" ht="15.75" customHeight="1">
      <c r="A455" s="12"/>
      <c r="B455" s="3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</row>
    <row r="456" ht="15.75" customHeight="1">
      <c r="A456" s="12"/>
      <c r="B456" s="3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</row>
    <row r="457" ht="15.75" customHeight="1">
      <c r="A457" s="12"/>
      <c r="B457" s="3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</row>
    <row r="458" ht="15.75" customHeight="1">
      <c r="A458" s="12"/>
      <c r="B458" s="3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</row>
    <row r="459" ht="15.75" customHeight="1">
      <c r="A459" s="12"/>
      <c r="B459" s="3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</row>
    <row r="460" ht="15.75" customHeight="1">
      <c r="A460" s="12"/>
      <c r="B460" s="3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</row>
    <row r="461" ht="15.75" customHeight="1">
      <c r="A461" s="12"/>
      <c r="B461" s="3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</row>
    <row r="462" ht="15.75" customHeight="1">
      <c r="A462" s="12"/>
      <c r="B462" s="3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</row>
    <row r="463" ht="15.75" customHeight="1">
      <c r="A463" s="12"/>
      <c r="B463" s="3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</row>
    <row r="464" ht="15.75" customHeight="1">
      <c r="A464" s="12"/>
      <c r="B464" s="3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</row>
    <row r="465" ht="15.75" customHeight="1">
      <c r="A465" s="12"/>
      <c r="B465" s="3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</row>
    <row r="466" ht="15.75" customHeight="1">
      <c r="A466" s="12"/>
      <c r="B466" s="3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</row>
    <row r="467" ht="15.75" customHeight="1">
      <c r="A467" s="12"/>
      <c r="B467" s="3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</row>
    <row r="468" ht="15.75" customHeight="1">
      <c r="A468" s="12"/>
      <c r="B468" s="3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</row>
    <row r="469" ht="15.75" customHeight="1">
      <c r="A469" s="12"/>
      <c r="B469" s="3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</row>
    <row r="470" ht="15.75" customHeight="1">
      <c r="A470" s="12"/>
      <c r="B470" s="3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</row>
    <row r="471" ht="15.75" customHeight="1">
      <c r="A471" s="12"/>
      <c r="B471" s="3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</row>
    <row r="472" ht="15.75" customHeight="1">
      <c r="A472" s="12"/>
      <c r="B472" s="3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</row>
    <row r="473" ht="15.75" customHeight="1">
      <c r="A473" s="12"/>
      <c r="B473" s="3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</row>
    <row r="474" ht="15.75" customHeight="1">
      <c r="A474" s="12"/>
      <c r="B474" s="3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</row>
    <row r="475" ht="15.75" customHeight="1">
      <c r="A475" s="12"/>
      <c r="B475" s="3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</row>
    <row r="476" ht="15.75" customHeight="1">
      <c r="A476" s="12"/>
      <c r="B476" s="3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</row>
    <row r="477" ht="15.75" customHeight="1">
      <c r="A477" s="12"/>
      <c r="B477" s="3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</row>
    <row r="478" ht="15.75" customHeight="1">
      <c r="A478" s="12"/>
      <c r="B478" s="3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</row>
    <row r="479" ht="15.75" customHeight="1">
      <c r="A479" s="12"/>
      <c r="B479" s="3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</row>
    <row r="480" ht="15.75" customHeight="1">
      <c r="A480" s="12"/>
      <c r="B480" s="3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</row>
    <row r="481" ht="15.75" customHeight="1">
      <c r="A481" s="12"/>
      <c r="B481" s="3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</row>
    <row r="482" ht="15.75" customHeight="1">
      <c r="A482" s="12"/>
      <c r="B482" s="3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</row>
    <row r="483" ht="15.75" customHeight="1">
      <c r="A483" s="12"/>
      <c r="B483" s="3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</row>
    <row r="484" ht="15.75" customHeight="1">
      <c r="A484" s="12"/>
      <c r="B484" s="3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</row>
    <row r="485" ht="15.75" customHeight="1">
      <c r="A485" s="12"/>
      <c r="B485" s="3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</row>
    <row r="486" ht="15.75" customHeight="1">
      <c r="A486" s="12"/>
      <c r="B486" s="3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</row>
    <row r="487" ht="15.75" customHeight="1">
      <c r="A487" s="12"/>
      <c r="B487" s="3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</row>
    <row r="488" ht="15.75" customHeight="1">
      <c r="A488" s="12"/>
      <c r="B488" s="3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</row>
    <row r="489" ht="15.75" customHeight="1">
      <c r="A489" s="12"/>
      <c r="B489" s="3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</row>
    <row r="490" ht="15.75" customHeight="1">
      <c r="A490" s="12"/>
      <c r="B490" s="3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</row>
    <row r="491" ht="15.75" customHeight="1">
      <c r="A491" s="12"/>
      <c r="B491" s="3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</row>
    <row r="492" ht="15.75" customHeight="1">
      <c r="A492" s="12"/>
      <c r="B492" s="3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</row>
    <row r="493" ht="15.75" customHeight="1">
      <c r="A493" s="12"/>
      <c r="B493" s="3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</row>
    <row r="494" ht="15.75" customHeight="1">
      <c r="A494" s="12"/>
      <c r="B494" s="3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</row>
    <row r="495" ht="15.75" customHeight="1">
      <c r="A495" s="12"/>
      <c r="B495" s="3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</row>
    <row r="496" ht="15.75" customHeight="1">
      <c r="A496" s="12"/>
      <c r="B496" s="3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</row>
    <row r="497" ht="15.75" customHeight="1">
      <c r="A497" s="12"/>
      <c r="B497" s="3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</row>
    <row r="498" ht="15.75" customHeight="1">
      <c r="A498" s="12"/>
      <c r="B498" s="3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</row>
    <row r="499" ht="15.75" customHeight="1">
      <c r="A499" s="12"/>
      <c r="B499" s="3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</row>
    <row r="500" ht="15.75" customHeight="1">
      <c r="A500" s="12"/>
      <c r="B500" s="3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</row>
    <row r="501" ht="15.75" customHeight="1">
      <c r="A501" s="12"/>
      <c r="B501" s="3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</row>
    <row r="502" ht="15.75" customHeight="1">
      <c r="A502" s="12"/>
      <c r="B502" s="3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</row>
    <row r="503" ht="15.75" customHeight="1">
      <c r="A503" s="12"/>
      <c r="B503" s="3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</row>
    <row r="504" ht="15.75" customHeight="1">
      <c r="A504" s="12"/>
      <c r="B504" s="3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</row>
    <row r="505" ht="15.75" customHeight="1">
      <c r="A505" s="12"/>
      <c r="B505" s="3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</row>
    <row r="506" ht="15.75" customHeight="1">
      <c r="A506" s="12"/>
      <c r="B506" s="3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</row>
    <row r="507" ht="15.75" customHeight="1">
      <c r="A507" s="12"/>
      <c r="B507" s="3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</row>
    <row r="508" ht="15.75" customHeight="1">
      <c r="A508" s="12"/>
      <c r="B508" s="3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</row>
    <row r="509" ht="15.75" customHeight="1">
      <c r="A509" s="12"/>
      <c r="B509" s="3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</row>
    <row r="510" ht="15.75" customHeight="1">
      <c r="A510" s="12"/>
      <c r="B510" s="3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</row>
    <row r="511" ht="15.75" customHeight="1">
      <c r="A511" s="12"/>
      <c r="B511" s="3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</row>
    <row r="512" ht="15.75" customHeight="1">
      <c r="A512" s="12"/>
      <c r="B512" s="3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</row>
    <row r="513" ht="15.75" customHeight="1">
      <c r="A513" s="12"/>
      <c r="B513" s="3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</row>
    <row r="514" ht="15.75" customHeight="1">
      <c r="A514" s="12"/>
      <c r="B514" s="3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</row>
    <row r="515" ht="15.75" customHeight="1">
      <c r="A515" s="12"/>
      <c r="B515" s="3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</row>
    <row r="516" ht="15.75" customHeight="1">
      <c r="A516" s="12"/>
      <c r="B516" s="3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</row>
    <row r="517" ht="15.75" customHeight="1">
      <c r="A517" s="12"/>
      <c r="B517" s="3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</row>
    <row r="518" ht="15.75" customHeight="1">
      <c r="A518" s="12"/>
      <c r="B518" s="3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</row>
    <row r="519" ht="15.75" customHeight="1">
      <c r="A519" s="12"/>
      <c r="B519" s="3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</row>
    <row r="520" ht="15.75" customHeight="1">
      <c r="A520" s="12"/>
      <c r="B520" s="3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</row>
    <row r="521" ht="15.75" customHeight="1">
      <c r="A521" s="12"/>
      <c r="B521" s="3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</row>
    <row r="522" ht="15.75" customHeight="1">
      <c r="A522" s="12"/>
      <c r="B522" s="3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</row>
    <row r="523" ht="15.75" customHeight="1">
      <c r="A523" s="12"/>
      <c r="B523" s="3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</row>
    <row r="524" ht="15.75" customHeight="1">
      <c r="A524" s="12"/>
      <c r="B524" s="3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</row>
    <row r="525" ht="15.75" customHeight="1">
      <c r="A525" s="12"/>
      <c r="B525" s="3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</row>
    <row r="526" ht="15.75" customHeight="1">
      <c r="A526" s="12"/>
      <c r="B526" s="3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</row>
    <row r="527" ht="15.75" customHeight="1">
      <c r="A527" s="12"/>
      <c r="B527" s="3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</row>
    <row r="528" ht="15.75" customHeight="1">
      <c r="A528" s="12"/>
      <c r="B528" s="3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</row>
    <row r="529" ht="15.75" customHeight="1">
      <c r="A529" s="12"/>
      <c r="B529" s="3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</row>
    <row r="530" ht="15.75" customHeight="1">
      <c r="A530" s="12"/>
      <c r="B530" s="3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</row>
    <row r="531" ht="15.75" customHeight="1">
      <c r="A531" s="12"/>
      <c r="B531" s="3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</row>
    <row r="532" ht="15.75" customHeight="1">
      <c r="A532" s="12"/>
      <c r="B532" s="3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</row>
    <row r="533" ht="15.75" customHeight="1">
      <c r="A533" s="12"/>
      <c r="B533" s="3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</row>
    <row r="534" ht="15.75" customHeight="1">
      <c r="A534" s="12"/>
      <c r="B534" s="3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</row>
    <row r="535" ht="15.75" customHeight="1">
      <c r="A535" s="12"/>
      <c r="B535" s="3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</row>
    <row r="536" ht="15.75" customHeight="1">
      <c r="A536" s="12"/>
      <c r="B536" s="3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</row>
    <row r="537" ht="15.75" customHeight="1">
      <c r="A537" s="12"/>
      <c r="B537" s="3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</row>
    <row r="538" ht="15.75" customHeight="1">
      <c r="A538" s="12"/>
      <c r="B538" s="3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</row>
    <row r="539" ht="15.75" customHeight="1">
      <c r="A539" s="12"/>
      <c r="B539" s="3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</row>
    <row r="540" ht="15.75" customHeight="1">
      <c r="A540" s="12"/>
      <c r="B540" s="3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</row>
    <row r="541" ht="15.75" customHeight="1">
      <c r="A541" s="12"/>
      <c r="B541" s="3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</row>
    <row r="542" ht="15.75" customHeight="1">
      <c r="A542" s="12"/>
      <c r="B542" s="3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</row>
    <row r="543" ht="15.75" customHeight="1">
      <c r="A543" s="12"/>
      <c r="B543" s="3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</row>
    <row r="544" ht="15.75" customHeight="1">
      <c r="A544" s="12"/>
      <c r="B544" s="3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</row>
    <row r="545" ht="15.75" customHeight="1">
      <c r="A545" s="12"/>
      <c r="B545" s="3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</row>
    <row r="546" ht="15.75" customHeight="1">
      <c r="A546" s="12"/>
      <c r="B546" s="3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</row>
    <row r="547" ht="15.75" customHeight="1">
      <c r="A547" s="12"/>
      <c r="B547" s="3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</row>
    <row r="548" ht="15.75" customHeight="1">
      <c r="A548" s="12"/>
      <c r="B548" s="3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</row>
    <row r="549" ht="15.75" customHeight="1">
      <c r="A549" s="12"/>
      <c r="B549" s="3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</row>
    <row r="550" ht="15.75" customHeight="1">
      <c r="A550" s="12"/>
      <c r="B550" s="3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</row>
    <row r="551" ht="15.75" customHeight="1">
      <c r="A551" s="12"/>
      <c r="B551" s="3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</row>
    <row r="552" ht="15.75" customHeight="1">
      <c r="A552" s="12"/>
      <c r="B552" s="3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</row>
    <row r="553" ht="15.75" customHeight="1">
      <c r="A553" s="12"/>
      <c r="B553" s="3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</row>
    <row r="554" ht="15.75" customHeight="1">
      <c r="A554" s="12"/>
      <c r="B554" s="3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</row>
    <row r="555" ht="15.75" customHeight="1">
      <c r="A555" s="12"/>
      <c r="B555" s="3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</row>
    <row r="556" ht="15.75" customHeight="1">
      <c r="A556" s="12"/>
      <c r="B556" s="3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</row>
    <row r="557" ht="15.75" customHeight="1">
      <c r="A557" s="12"/>
      <c r="B557" s="3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</row>
    <row r="558" ht="15.75" customHeight="1">
      <c r="A558" s="12"/>
      <c r="B558" s="3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</row>
    <row r="559" ht="15.75" customHeight="1">
      <c r="A559" s="12"/>
      <c r="B559" s="3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</row>
    <row r="560" ht="15.75" customHeight="1">
      <c r="A560" s="12"/>
      <c r="B560" s="3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</row>
    <row r="561" ht="15.75" customHeight="1">
      <c r="A561" s="12"/>
      <c r="B561" s="3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</row>
    <row r="562" ht="15.75" customHeight="1">
      <c r="A562" s="12"/>
      <c r="B562" s="3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</row>
    <row r="563" ht="15.75" customHeight="1">
      <c r="A563" s="12"/>
      <c r="B563" s="3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</row>
    <row r="564" ht="15.75" customHeight="1">
      <c r="A564" s="12"/>
      <c r="B564" s="3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</row>
    <row r="565" ht="15.75" customHeight="1">
      <c r="A565" s="12"/>
      <c r="B565" s="3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</row>
    <row r="566" ht="15.75" customHeight="1">
      <c r="A566" s="12"/>
      <c r="B566" s="3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</row>
    <row r="567" ht="15.75" customHeight="1">
      <c r="A567" s="12"/>
      <c r="B567" s="3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</row>
    <row r="568" ht="15.75" customHeight="1">
      <c r="A568" s="12"/>
      <c r="B568" s="3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</row>
    <row r="569" ht="15.75" customHeight="1">
      <c r="A569" s="12"/>
      <c r="B569" s="3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</row>
    <row r="570" ht="15.75" customHeight="1">
      <c r="A570" s="12"/>
      <c r="B570" s="3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</row>
    <row r="571" ht="15.75" customHeight="1">
      <c r="A571" s="12"/>
      <c r="B571" s="3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</row>
    <row r="572" ht="15.75" customHeight="1">
      <c r="A572" s="12"/>
      <c r="B572" s="3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</row>
    <row r="573" ht="15.75" customHeight="1">
      <c r="A573" s="12"/>
      <c r="B573" s="3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</row>
    <row r="574" ht="15.75" customHeight="1">
      <c r="A574" s="12"/>
      <c r="B574" s="3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</row>
    <row r="575" ht="15.75" customHeight="1">
      <c r="A575" s="12"/>
      <c r="B575" s="3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</row>
    <row r="576" ht="15.75" customHeight="1">
      <c r="A576" s="12"/>
      <c r="B576" s="3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</row>
    <row r="577" ht="15.75" customHeight="1">
      <c r="A577" s="12"/>
      <c r="B577" s="3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</row>
    <row r="578" ht="15.75" customHeight="1">
      <c r="A578" s="12"/>
      <c r="B578" s="3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</row>
    <row r="579" ht="15.75" customHeight="1">
      <c r="A579" s="12"/>
      <c r="B579" s="3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</row>
    <row r="580" ht="15.75" customHeight="1">
      <c r="A580" s="12"/>
      <c r="B580" s="3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</row>
    <row r="581" ht="15.75" customHeight="1">
      <c r="A581" s="12"/>
      <c r="B581" s="3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</row>
    <row r="582" ht="15.75" customHeight="1">
      <c r="A582" s="12"/>
      <c r="B582" s="3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</row>
    <row r="583" ht="15.75" customHeight="1">
      <c r="A583" s="12"/>
      <c r="B583" s="3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</row>
    <row r="584" ht="15.75" customHeight="1">
      <c r="A584" s="12"/>
      <c r="B584" s="3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</row>
    <row r="585" ht="15.75" customHeight="1">
      <c r="A585" s="12"/>
      <c r="B585" s="3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</row>
    <row r="586" ht="15.75" customHeight="1">
      <c r="A586" s="12"/>
      <c r="B586" s="3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</row>
    <row r="587" ht="15.75" customHeight="1">
      <c r="A587" s="12"/>
      <c r="B587" s="3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</row>
    <row r="588" ht="15.75" customHeight="1">
      <c r="A588" s="12"/>
      <c r="B588" s="3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</row>
    <row r="589" ht="15.75" customHeight="1">
      <c r="A589" s="12"/>
      <c r="B589" s="3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</row>
    <row r="590" ht="15.75" customHeight="1">
      <c r="A590" s="12"/>
      <c r="B590" s="3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</row>
    <row r="591" ht="15.75" customHeight="1">
      <c r="A591" s="12"/>
      <c r="B591" s="3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</row>
    <row r="592" ht="15.75" customHeight="1">
      <c r="A592" s="12"/>
      <c r="B592" s="3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</row>
    <row r="593" ht="15.75" customHeight="1">
      <c r="A593" s="12"/>
      <c r="B593" s="3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</row>
    <row r="594" ht="15.75" customHeight="1">
      <c r="A594" s="12"/>
      <c r="B594" s="3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</row>
    <row r="595" ht="15.75" customHeight="1">
      <c r="A595" s="12"/>
      <c r="B595" s="3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</row>
    <row r="596" ht="15.75" customHeight="1">
      <c r="A596" s="12"/>
      <c r="B596" s="3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</row>
    <row r="597" ht="15.75" customHeight="1">
      <c r="A597" s="12"/>
      <c r="B597" s="3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</row>
    <row r="598" ht="15.75" customHeight="1">
      <c r="A598" s="12"/>
      <c r="B598" s="3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</row>
    <row r="599" ht="15.75" customHeight="1">
      <c r="A599" s="12"/>
      <c r="B599" s="3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</row>
    <row r="600" ht="15.75" customHeight="1">
      <c r="A600" s="12"/>
      <c r="B600" s="3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</row>
    <row r="601" ht="15.75" customHeight="1">
      <c r="A601" s="12"/>
      <c r="B601" s="3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</row>
    <row r="602" ht="15.75" customHeight="1">
      <c r="A602" s="12"/>
      <c r="B602" s="3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</row>
    <row r="603" ht="15.75" customHeight="1">
      <c r="A603" s="12"/>
      <c r="B603" s="3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</row>
    <row r="604" ht="15.75" customHeight="1">
      <c r="A604" s="12"/>
      <c r="B604" s="3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</row>
    <row r="605" ht="15.75" customHeight="1">
      <c r="A605" s="12"/>
      <c r="B605" s="3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</row>
    <row r="606" ht="15.75" customHeight="1">
      <c r="A606" s="12"/>
      <c r="B606" s="3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</row>
    <row r="607" ht="15.75" customHeight="1">
      <c r="A607" s="12"/>
      <c r="B607" s="3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</row>
    <row r="608" ht="15.75" customHeight="1">
      <c r="A608" s="12"/>
      <c r="B608" s="3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</row>
    <row r="609" ht="15.75" customHeight="1">
      <c r="A609" s="12"/>
      <c r="B609" s="3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</row>
    <row r="610" ht="15.75" customHeight="1">
      <c r="A610" s="12"/>
      <c r="B610" s="3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</row>
    <row r="611" ht="15.75" customHeight="1">
      <c r="A611" s="12"/>
      <c r="B611" s="3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</row>
    <row r="612" ht="15.75" customHeight="1">
      <c r="A612" s="12"/>
      <c r="B612" s="3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</row>
    <row r="613" ht="15.75" customHeight="1">
      <c r="A613" s="12"/>
      <c r="B613" s="3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</row>
    <row r="614" ht="15.75" customHeight="1">
      <c r="A614" s="12"/>
      <c r="B614" s="3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</row>
    <row r="615" ht="15.75" customHeight="1">
      <c r="A615" s="12"/>
      <c r="B615" s="3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</row>
    <row r="616" ht="15.75" customHeight="1">
      <c r="A616" s="12"/>
      <c r="B616" s="3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</row>
    <row r="617" ht="15.75" customHeight="1">
      <c r="A617" s="12"/>
      <c r="B617" s="3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</row>
    <row r="618" ht="15.75" customHeight="1">
      <c r="A618" s="12"/>
      <c r="B618" s="3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</row>
    <row r="619" ht="15.75" customHeight="1">
      <c r="A619" s="12"/>
      <c r="B619" s="3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</row>
    <row r="620" ht="15.75" customHeight="1">
      <c r="A620" s="12"/>
      <c r="B620" s="3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</row>
    <row r="621" ht="15.75" customHeight="1">
      <c r="A621" s="12"/>
      <c r="B621" s="3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</row>
    <row r="622" ht="15.75" customHeight="1">
      <c r="A622" s="12"/>
      <c r="B622" s="3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</row>
    <row r="623" ht="15.75" customHeight="1">
      <c r="A623" s="12"/>
      <c r="B623" s="3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</row>
    <row r="624" ht="15.75" customHeight="1">
      <c r="A624" s="12"/>
      <c r="B624" s="3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</row>
    <row r="625" ht="15.75" customHeight="1">
      <c r="A625" s="12"/>
      <c r="B625" s="3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</row>
    <row r="626" ht="15.75" customHeight="1">
      <c r="A626" s="12"/>
      <c r="B626" s="3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</row>
    <row r="627" ht="15.75" customHeight="1">
      <c r="A627" s="12"/>
      <c r="B627" s="3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</row>
    <row r="628" ht="15.75" customHeight="1">
      <c r="A628" s="12"/>
      <c r="B628" s="3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</row>
    <row r="629" ht="15.75" customHeight="1">
      <c r="A629" s="12"/>
      <c r="B629" s="3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</row>
    <row r="630" ht="15.75" customHeight="1">
      <c r="A630" s="12"/>
      <c r="B630" s="3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</row>
    <row r="631" ht="15.75" customHeight="1">
      <c r="A631" s="12"/>
      <c r="B631" s="3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</row>
    <row r="632" ht="15.75" customHeight="1">
      <c r="A632" s="12"/>
      <c r="B632" s="3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</row>
    <row r="633" ht="15.75" customHeight="1">
      <c r="A633" s="12"/>
      <c r="B633" s="3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</row>
    <row r="634" ht="15.75" customHeight="1">
      <c r="A634" s="12"/>
      <c r="B634" s="3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</row>
    <row r="635" ht="15.75" customHeight="1">
      <c r="A635" s="12"/>
      <c r="B635" s="3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</row>
    <row r="636" ht="15.75" customHeight="1">
      <c r="A636" s="12"/>
      <c r="B636" s="3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</row>
    <row r="637" ht="15.75" customHeight="1">
      <c r="A637" s="12"/>
      <c r="B637" s="3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</row>
    <row r="638" ht="15.75" customHeight="1">
      <c r="A638" s="12"/>
      <c r="B638" s="3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</row>
    <row r="639" ht="15.75" customHeight="1">
      <c r="A639" s="12"/>
      <c r="B639" s="3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</row>
    <row r="640" ht="15.75" customHeight="1">
      <c r="A640" s="12"/>
      <c r="B640" s="3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</row>
    <row r="641" ht="15.75" customHeight="1">
      <c r="A641" s="12"/>
      <c r="B641" s="3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</row>
    <row r="642" ht="15.75" customHeight="1">
      <c r="A642" s="12"/>
      <c r="B642" s="3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</row>
    <row r="643" ht="15.75" customHeight="1">
      <c r="A643" s="12"/>
      <c r="B643" s="3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</row>
    <row r="644" ht="15.75" customHeight="1">
      <c r="A644" s="12"/>
      <c r="B644" s="3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</row>
    <row r="645" ht="15.75" customHeight="1">
      <c r="A645" s="12"/>
      <c r="B645" s="3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</row>
    <row r="646" ht="15.75" customHeight="1">
      <c r="A646" s="12"/>
      <c r="B646" s="3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</row>
    <row r="647" ht="15.75" customHeight="1">
      <c r="A647" s="12"/>
      <c r="B647" s="3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</row>
    <row r="648" ht="15.75" customHeight="1">
      <c r="A648" s="12"/>
      <c r="B648" s="3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</row>
    <row r="649" ht="15.75" customHeight="1">
      <c r="A649" s="12"/>
      <c r="B649" s="3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</row>
    <row r="650" ht="15.75" customHeight="1">
      <c r="A650" s="12"/>
      <c r="B650" s="3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</row>
    <row r="651" ht="15.75" customHeight="1">
      <c r="A651" s="12"/>
      <c r="B651" s="3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</row>
    <row r="652" ht="15.75" customHeight="1">
      <c r="A652" s="12"/>
      <c r="B652" s="3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</row>
    <row r="653" ht="15.75" customHeight="1">
      <c r="A653" s="12"/>
      <c r="B653" s="3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</row>
    <row r="654" ht="15.75" customHeight="1">
      <c r="A654" s="12"/>
      <c r="B654" s="3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</row>
    <row r="655" ht="15.75" customHeight="1">
      <c r="A655" s="12"/>
      <c r="B655" s="3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</row>
    <row r="656" ht="15.75" customHeight="1">
      <c r="A656" s="12"/>
      <c r="B656" s="3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</row>
    <row r="657" ht="15.75" customHeight="1">
      <c r="A657" s="12"/>
      <c r="B657" s="3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</row>
    <row r="658" ht="15.75" customHeight="1">
      <c r="A658" s="12"/>
      <c r="B658" s="3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</row>
    <row r="659" ht="15.75" customHeight="1">
      <c r="A659" s="12"/>
      <c r="B659" s="3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</row>
    <row r="660" ht="15.75" customHeight="1">
      <c r="A660" s="12"/>
      <c r="B660" s="3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</row>
    <row r="661" ht="15.75" customHeight="1">
      <c r="A661" s="12"/>
      <c r="B661" s="3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</row>
    <row r="662" ht="15.75" customHeight="1">
      <c r="A662" s="12"/>
      <c r="B662" s="3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</row>
    <row r="663" ht="15.75" customHeight="1">
      <c r="A663" s="12"/>
      <c r="B663" s="3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</row>
    <row r="664" ht="15.75" customHeight="1">
      <c r="A664" s="12"/>
      <c r="B664" s="3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</row>
    <row r="665" ht="15.75" customHeight="1">
      <c r="A665" s="12"/>
      <c r="B665" s="3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</row>
    <row r="666" ht="15.75" customHeight="1">
      <c r="A666" s="12"/>
      <c r="B666" s="3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</row>
    <row r="667" ht="15.75" customHeight="1">
      <c r="A667" s="12"/>
      <c r="B667" s="3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</row>
    <row r="668" ht="15.75" customHeight="1">
      <c r="A668" s="12"/>
      <c r="B668" s="3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</row>
    <row r="669" ht="15.75" customHeight="1">
      <c r="A669" s="12"/>
      <c r="B669" s="3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</row>
    <row r="670" ht="15.75" customHeight="1">
      <c r="A670" s="12"/>
      <c r="B670" s="3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</row>
    <row r="671" ht="15.75" customHeight="1">
      <c r="A671" s="12"/>
      <c r="B671" s="3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</row>
    <row r="672" ht="15.75" customHeight="1">
      <c r="A672" s="12"/>
      <c r="B672" s="3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</row>
    <row r="673" ht="15.75" customHeight="1">
      <c r="A673" s="12"/>
      <c r="B673" s="3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</row>
    <row r="674" ht="15.75" customHeight="1">
      <c r="A674" s="12"/>
      <c r="B674" s="3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</row>
    <row r="675" ht="15.75" customHeight="1">
      <c r="A675" s="12"/>
      <c r="B675" s="3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</row>
    <row r="676" ht="15.75" customHeight="1">
      <c r="A676" s="12"/>
      <c r="B676" s="3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</row>
    <row r="677" ht="15.75" customHeight="1">
      <c r="A677" s="12"/>
      <c r="B677" s="3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</row>
    <row r="678" ht="15.75" customHeight="1">
      <c r="A678" s="12"/>
      <c r="B678" s="3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</row>
    <row r="679" ht="15.75" customHeight="1">
      <c r="A679" s="12"/>
      <c r="B679" s="3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</row>
    <row r="680" ht="15.75" customHeight="1">
      <c r="A680" s="12"/>
      <c r="B680" s="3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</row>
    <row r="681" ht="15.75" customHeight="1">
      <c r="A681" s="12"/>
      <c r="B681" s="3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</row>
    <row r="682" ht="15.75" customHeight="1">
      <c r="A682" s="12"/>
      <c r="B682" s="3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</row>
    <row r="683" ht="15.75" customHeight="1">
      <c r="A683" s="12"/>
      <c r="B683" s="3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</row>
    <row r="684" ht="15.75" customHeight="1">
      <c r="A684" s="12"/>
      <c r="B684" s="3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</row>
    <row r="685" ht="15.75" customHeight="1">
      <c r="A685" s="12"/>
      <c r="B685" s="3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</row>
    <row r="686" ht="15.75" customHeight="1">
      <c r="A686" s="12"/>
      <c r="B686" s="3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</row>
    <row r="687" ht="15.75" customHeight="1">
      <c r="A687" s="12"/>
      <c r="B687" s="3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</row>
    <row r="688" ht="15.75" customHeight="1">
      <c r="A688" s="12"/>
      <c r="B688" s="3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</row>
    <row r="689" ht="15.75" customHeight="1">
      <c r="A689" s="12"/>
      <c r="B689" s="3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</row>
    <row r="690" ht="15.75" customHeight="1">
      <c r="A690" s="12"/>
      <c r="B690" s="3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</row>
    <row r="691" ht="15.75" customHeight="1">
      <c r="A691" s="12"/>
      <c r="B691" s="3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</row>
    <row r="692" ht="15.75" customHeight="1">
      <c r="A692" s="12"/>
      <c r="B692" s="3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</row>
    <row r="693" ht="15.75" customHeight="1">
      <c r="A693" s="12"/>
      <c r="B693" s="3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</row>
    <row r="694" ht="15.75" customHeight="1">
      <c r="A694" s="12"/>
      <c r="B694" s="3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</row>
    <row r="695" ht="15.75" customHeight="1">
      <c r="A695" s="12"/>
      <c r="B695" s="3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</row>
    <row r="696" ht="15.75" customHeight="1">
      <c r="A696" s="12"/>
      <c r="B696" s="3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</row>
    <row r="697" ht="15.75" customHeight="1">
      <c r="A697" s="12"/>
      <c r="B697" s="3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</row>
    <row r="698" ht="15.75" customHeight="1">
      <c r="A698" s="12"/>
      <c r="B698" s="3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</row>
    <row r="699" ht="15.75" customHeight="1">
      <c r="A699" s="12"/>
      <c r="B699" s="3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</row>
    <row r="700" ht="15.75" customHeight="1">
      <c r="A700" s="12"/>
      <c r="B700" s="3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</row>
    <row r="701" ht="15.75" customHeight="1">
      <c r="A701" s="12"/>
      <c r="B701" s="3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</row>
    <row r="702" ht="15.75" customHeight="1">
      <c r="A702" s="12"/>
      <c r="B702" s="3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</row>
    <row r="703" ht="15.75" customHeight="1">
      <c r="A703" s="12"/>
      <c r="B703" s="3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</row>
    <row r="704" ht="15.75" customHeight="1">
      <c r="A704" s="12"/>
      <c r="B704" s="3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</row>
    <row r="705" ht="15.75" customHeight="1">
      <c r="A705" s="12"/>
      <c r="B705" s="3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</row>
    <row r="706" ht="15.75" customHeight="1">
      <c r="A706" s="12"/>
      <c r="B706" s="3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</row>
    <row r="707" ht="15.75" customHeight="1">
      <c r="A707" s="12"/>
      <c r="B707" s="3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</row>
    <row r="708" ht="15.75" customHeight="1">
      <c r="A708" s="12"/>
      <c r="B708" s="3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</row>
    <row r="709" ht="15.75" customHeight="1">
      <c r="A709" s="12"/>
      <c r="B709" s="3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</row>
    <row r="710" ht="15.75" customHeight="1">
      <c r="A710" s="12"/>
      <c r="B710" s="3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</row>
    <row r="711" ht="15.75" customHeight="1">
      <c r="A711" s="12"/>
      <c r="B711" s="3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</row>
    <row r="712" ht="15.75" customHeight="1">
      <c r="A712" s="12"/>
      <c r="B712" s="3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</row>
    <row r="713" ht="15.75" customHeight="1">
      <c r="A713" s="12"/>
      <c r="B713" s="3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</row>
    <row r="714" ht="15.75" customHeight="1">
      <c r="A714" s="12"/>
      <c r="B714" s="3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</row>
    <row r="715" ht="15.75" customHeight="1">
      <c r="A715" s="12"/>
      <c r="B715" s="3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</row>
    <row r="716" ht="15.75" customHeight="1">
      <c r="A716" s="12"/>
      <c r="B716" s="3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</row>
    <row r="717" ht="15.75" customHeight="1">
      <c r="A717" s="12"/>
      <c r="B717" s="3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</row>
    <row r="718" ht="15.75" customHeight="1">
      <c r="A718" s="12"/>
      <c r="B718" s="3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</row>
    <row r="719" ht="15.75" customHeight="1">
      <c r="A719" s="12"/>
      <c r="B719" s="3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</row>
    <row r="720" ht="15.75" customHeight="1">
      <c r="A720" s="12"/>
      <c r="B720" s="3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</row>
    <row r="721" ht="15.75" customHeight="1">
      <c r="A721" s="12"/>
      <c r="B721" s="3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</row>
    <row r="722" ht="15.75" customHeight="1">
      <c r="A722" s="12"/>
      <c r="B722" s="3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</row>
    <row r="723" ht="15.75" customHeight="1">
      <c r="A723" s="12"/>
      <c r="B723" s="3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</row>
    <row r="724" ht="15.75" customHeight="1">
      <c r="A724" s="12"/>
      <c r="B724" s="3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</row>
    <row r="725" ht="15.75" customHeight="1">
      <c r="A725" s="12"/>
      <c r="B725" s="3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</row>
    <row r="726" ht="15.75" customHeight="1">
      <c r="A726" s="12"/>
      <c r="B726" s="3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</row>
    <row r="727" ht="15.75" customHeight="1">
      <c r="A727" s="12"/>
      <c r="B727" s="3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</row>
    <row r="728" ht="15.75" customHeight="1">
      <c r="A728" s="12"/>
      <c r="B728" s="3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</row>
    <row r="729" ht="15.75" customHeight="1">
      <c r="A729" s="12"/>
      <c r="B729" s="3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</row>
    <row r="730" ht="15.75" customHeight="1">
      <c r="A730" s="12"/>
      <c r="B730" s="3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</row>
    <row r="731" ht="15.75" customHeight="1">
      <c r="A731" s="12"/>
      <c r="B731" s="3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</row>
    <row r="732" ht="15.75" customHeight="1">
      <c r="A732" s="12"/>
      <c r="B732" s="3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</row>
    <row r="733" ht="15.75" customHeight="1">
      <c r="A733" s="12"/>
      <c r="B733" s="3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</row>
    <row r="734" ht="15.75" customHeight="1">
      <c r="A734" s="12"/>
      <c r="B734" s="3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</row>
    <row r="735" ht="15.75" customHeight="1">
      <c r="A735" s="12"/>
      <c r="B735" s="3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</row>
    <row r="736" ht="15.75" customHeight="1">
      <c r="A736" s="12"/>
      <c r="B736" s="3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</row>
    <row r="737" ht="15.75" customHeight="1">
      <c r="A737" s="12"/>
      <c r="B737" s="3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</row>
    <row r="738" ht="15.75" customHeight="1">
      <c r="A738" s="12"/>
      <c r="B738" s="3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</row>
    <row r="739" ht="15.75" customHeight="1">
      <c r="A739" s="12"/>
      <c r="B739" s="3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</row>
    <row r="740" ht="15.75" customHeight="1">
      <c r="A740" s="12"/>
      <c r="B740" s="3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</row>
    <row r="741" ht="15.75" customHeight="1">
      <c r="A741" s="12"/>
      <c r="B741" s="3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</row>
    <row r="742" ht="15.75" customHeight="1">
      <c r="A742" s="12"/>
      <c r="B742" s="3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</row>
    <row r="743" ht="15.75" customHeight="1">
      <c r="A743" s="12"/>
      <c r="B743" s="3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</row>
    <row r="744" ht="15.75" customHeight="1">
      <c r="A744" s="12"/>
      <c r="B744" s="3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</row>
    <row r="745" ht="15.75" customHeight="1">
      <c r="A745" s="12"/>
      <c r="B745" s="3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</row>
    <row r="746" ht="15.75" customHeight="1">
      <c r="A746" s="12"/>
      <c r="B746" s="3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</row>
    <row r="747" ht="15.75" customHeight="1">
      <c r="A747" s="12"/>
      <c r="B747" s="3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</row>
    <row r="748" ht="15.75" customHeight="1">
      <c r="A748" s="12"/>
      <c r="B748" s="3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</row>
    <row r="749" ht="15.75" customHeight="1">
      <c r="A749" s="12"/>
      <c r="B749" s="3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</row>
    <row r="750" ht="15.75" customHeight="1">
      <c r="A750" s="12"/>
      <c r="B750" s="3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</row>
    <row r="751" ht="15.75" customHeight="1">
      <c r="A751" s="12"/>
      <c r="B751" s="3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</row>
    <row r="752" ht="15.75" customHeight="1">
      <c r="A752" s="12"/>
      <c r="B752" s="3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</row>
    <row r="753" ht="15.75" customHeight="1">
      <c r="A753" s="12"/>
      <c r="B753" s="3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</row>
    <row r="754" ht="15.75" customHeight="1">
      <c r="A754" s="12"/>
      <c r="B754" s="3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</row>
    <row r="755" ht="15.75" customHeight="1">
      <c r="A755" s="12"/>
      <c r="B755" s="3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</row>
    <row r="756" ht="15.75" customHeight="1">
      <c r="A756" s="12"/>
      <c r="B756" s="3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</row>
    <row r="757" ht="15.75" customHeight="1">
      <c r="A757" s="12"/>
      <c r="B757" s="3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</row>
    <row r="758" ht="15.75" customHeight="1">
      <c r="A758" s="12"/>
      <c r="B758" s="3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</row>
    <row r="759" ht="15.75" customHeight="1">
      <c r="A759" s="12"/>
      <c r="B759" s="3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</row>
    <row r="760" ht="15.75" customHeight="1">
      <c r="A760" s="12"/>
      <c r="B760" s="3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</row>
    <row r="761" ht="15.75" customHeight="1">
      <c r="A761" s="12"/>
      <c r="B761" s="3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</row>
    <row r="762" ht="15.75" customHeight="1">
      <c r="A762" s="12"/>
      <c r="B762" s="3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</row>
    <row r="763" ht="15.75" customHeight="1">
      <c r="A763" s="12"/>
      <c r="B763" s="3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</row>
    <row r="764" ht="15.75" customHeight="1">
      <c r="A764" s="12"/>
      <c r="B764" s="3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</row>
    <row r="765" ht="15.75" customHeight="1">
      <c r="A765" s="12"/>
      <c r="B765" s="3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</row>
    <row r="766" ht="15.75" customHeight="1">
      <c r="A766" s="12"/>
      <c r="B766" s="3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</row>
    <row r="767" ht="15.75" customHeight="1">
      <c r="A767" s="12"/>
      <c r="B767" s="3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</row>
    <row r="768" ht="15.75" customHeight="1">
      <c r="A768" s="12"/>
      <c r="B768" s="3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</row>
    <row r="769" ht="15.75" customHeight="1">
      <c r="A769" s="12"/>
      <c r="B769" s="3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</row>
    <row r="770" ht="15.75" customHeight="1">
      <c r="A770" s="12"/>
      <c r="B770" s="3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</row>
    <row r="771" ht="15.75" customHeight="1">
      <c r="A771" s="12"/>
      <c r="B771" s="3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</row>
    <row r="772" ht="15.75" customHeight="1">
      <c r="A772" s="12"/>
      <c r="B772" s="3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</row>
    <row r="773" ht="15.75" customHeight="1">
      <c r="A773" s="12"/>
      <c r="B773" s="3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</row>
    <row r="774" ht="15.75" customHeight="1">
      <c r="A774" s="12"/>
      <c r="B774" s="3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</row>
    <row r="775" ht="15.75" customHeight="1">
      <c r="A775" s="12"/>
      <c r="B775" s="3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</row>
    <row r="776" ht="15.75" customHeight="1">
      <c r="A776" s="12"/>
      <c r="B776" s="3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</row>
    <row r="777" ht="15.75" customHeight="1">
      <c r="A777" s="12"/>
      <c r="B777" s="3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</row>
    <row r="778" ht="15.75" customHeight="1">
      <c r="A778" s="12"/>
      <c r="B778" s="3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</row>
    <row r="779" ht="15.75" customHeight="1">
      <c r="A779" s="12"/>
      <c r="B779" s="3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</row>
    <row r="780" ht="15.75" customHeight="1">
      <c r="A780" s="12"/>
      <c r="B780" s="3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</row>
    <row r="781" ht="15.75" customHeight="1">
      <c r="A781" s="12"/>
      <c r="B781" s="3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</row>
    <row r="782" ht="15.75" customHeight="1">
      <c r="A782" s="12"/>
      <c r="B782" s="3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</row>
    <row r="783" ht="15.75" customHeight="1">
      <c r="A783" s="12"/>
      <c r="B783" s="3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</row>
    <row r="784" ht="15.75" customHeight="1">
      <c r="A784" s="12"/>
      <c r="B784" s="3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</row>
    <row r="785" ht="15.75" customHeight="1">
      <c r="A785" s="12"/>
      <c r="B785" s="3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</row>
    <row r="786" ht="15.75" customHeight="1">
      <c r="A786" s="12"/>
      <c r="B786" s="3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</row>
    <row r="787" ht="15.75" customHeight="1">
      <c r="A787" s="12"/>
      <c r="B787" s="3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</row>
    <row r="788" ht="15.75" customHeight="1">
      <c r="A788" s="12"/>
      <c r="B788" s="3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</row>
    <row r="789" ht="15.75" customHeight="1">
      <c r="A789" s="12"/>
      <c r="B789" s="3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</row>
    <row r="790" ht="15.75" customHeight="1">
      <c r="A790" s="12"/>
      <c r="B790" s="3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</row>
    <row r="791" ht="15.75" customHeight="1">
      <c r="A791" s="12"/>
      <c r="B791" s="3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</row>
    <row r="792" ht="15.75" customHeight="1">
      <c r="A792" s="12"/>
      <c r="B792" s="3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</row>
    <row r="793" ht="15.75" customHeight="1">
      <c r="A793" s="12"/>
      <c r="B793" s="3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</row>
    <row r="794" ht="15.75" customHeight="1">
      <c r="A794" s="12"/>
      <c r="B794" s="3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</row>
    <row r="795" ht="15.75" customHeight="1">
      <c r="A795" s="12"/>
      <c r="B795" s="3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</row>
    <row r="796" ht="15.75" customHeight="1">
      <c r="A796" s="12"/>
      <c r="B796" s="3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</row>
    <row r="797" ht="15.75" customHeight="1">
      <c r="A797" s="12"/>
      <c r="B797" s="3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</row>
    <row r="798" ht="15.75" customHeight="1">
      <c r="A798" s="12"/>
      <c r="B798" s="3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</row>
    <row r="799" ht="15.75" customHeight="1">
      <c r="A799" s="12"/>
      <c r="B799" s="3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</row>
    <row r="800" ht="15.75" customHeight="1">
      <c r="A800" s="12"/>
      <c r="B800" s="3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</row>
    <row r="801" ht="15.75" customHeight="1">
      <c r="A801" s="12"/>
      <c r="B801" s="3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</row>
    <row r="802" ht="15.75" customHeight="1">
      <c r="A802" s="12"/>
      <c r="B802" s="3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</row>
    <row r="803" ht="15.75" customHeight="1">
      <c r="A803" s="12"/>
      <c r="B803" s="3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</row>
    <row r="804" ht="15.75" customHeight="1">
      <c r="A804" s="12"/>
      <c r="B804" s="3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</row>
    <row r="805" ht="15.75" customHeight="1">
      <c r="A805" s="12"/>
      <c r="B805" s="3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</row>
    <row r="806" ht="15.75" customHeight="1">
      <c r="A806" s="12"/>
      <c r="B806" s="3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</row>
    <row r="807" ht="15.75" customHeight="1">
      <c r="A807" s="12"/>
      <c r="B807" s="3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</row>
    <row r="808" ht="15.75" customHeight="1">
      <c r="A808" s="12"/>
      <c r="B808" s="3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</row>
    <row r="809" ht="15.75" customHeight="1">
      <c r="A809" s="12"/>
      <c r="B809" s="3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</row>
    <row r="810" ht="15.75" customHeight="1">
      <c r="A810" s="12"/>
      <c r="B810" s="3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</row>
    <row r="811" ht="15.75" customHeight="1">
      <c r="A811" s="12"/>
      <c r="B811" s="3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</row>
    <row r="812" ht="15.75" customHeight="1">
      <c r="A812" s="12"/>
      <c r="B812" s="3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</row>
    <row r="813" ht="15.75" customHeight="1">
      <c r="A813" s="12"/>
      <c r="B813" s="3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</row>
    <row r="814" ht="15.75" customHeight="1">
      <c r="A814" s="12"/>
      <c r="B814" s="3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</row>
    <row r="815" ht="15.75" customHeight="1">
      <c r="A815" s="12"/>
      <c r="B815" s="3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</row>
    <row r="816" ht="15.75" customHeight="1">
      <c r="A816" s="12"/>
      <c r="B816" s="3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</row>
    <row r="817" ht="15.75" customHeight="1">
      <c r="A817" s="12"/>
      <c r="B817" s="3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</row>
    <row r="818" ht="15.75" customHeight="1">
      <c r="A818" s="12"/>
      <c r="B818" s="3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</row>
    <row r="819" ht="15.75" customHeight="1">
      <c r="A819" s="12"/>
      <c r="B819" s="3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</row>
    <row r="820" ht="15.75" customHeight="1">
      <c r="A820" s="12"/>
      <c r="B820" s="3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</row>
    <row r="821" ht="15.75" customHeight="1">
      <c r="A821" s="12"/>
      <c r="B821" s="3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</row>
    <row r="822" ht="15.75" customHeight="1">
      <c r="A822" s="12"/>
      <c r="B822" s="3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</row>
    <row r="823" ht="15.75" customHeight="1">
      <c r="A823" s="12"/>
      <c r="B823" s="3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</row>
    <row r="824" ht="15.75" customHeight="1">
      <c r="A824" s="12"/>
      <c r="B824" s="3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</row>
    <row r="825" ht="15.75" customHeight="1">
      <c r="A825" s="12"/>
      <c r="B825" s="3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</row>
    <row r="826" ht="15.75" customHeight="1">
      <c r="A826" s="12"/>
      <c r="B826" s="3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</row>
    <row r="827" ht="15.75" customHeight="1">
      <c r="A827" s="12"/>
      <c r="B827" s="3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</row>
    <row r="828" ht="15.75" customHeight="1">
      <c r="A828" s="12"/>
      <c r="B828" s="3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</row>
    <row r="829" ht="15.75" customHeight="1">
      <c r="A829" s="12"/>
      <c r="B829" s="3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</row>
    <row r="830" ht="15.75" customHeight="1">
      <c r="A830" s="12"/>
      <c r="B830" s="3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</row>
    <row r="831" ht="15.75" customHeight="1">
      <c r="A831" s="12"/>
      <c r="B831" s="3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</row>
    <row r="832" ht="15.75" customHeight="1">
      <c r="A832" s="12"/>
      <c r="B832" s="3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</row>
    <row r="833" ht="15.75" customHeight="1">
      <c r="A833" s="12"/>
      <c r="B833" s="3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</row>
    <row r="834" ht="15.75" customHeight="1">
      <c r="A834" s="12"/>
      <c r="B834" s="3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</row>
    <row r="835" ht="15.75" customHeight="1">
      <c r="A835" s="12"/>
      <c r="B835" s="3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</row>
    <row r="836" ht="15.75" customHeight="1">
      <c r="A836" s="12"/>
      <c r="B836" s="3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</row>
    <row r="837" ht="15.75" customHeight="1">
      <c r="A837" s="12"/>
      <c r="B837" s="3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</row>
    <row r="838" ht="15.75" customHeight="1">
      <c r="A838" s="12"/>
      <c r="B838" s="3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</row>
    <row r="839" ht="15.75" customHeight="1">
      <c r="A839" s="12"/>
      <c r="B839" s="3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</row>
    <row r="840" ht="15.75" customHeight="1">
      <c r="A840" s="12"/>
      <c r="B840" s="3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</row>
    <row r="841" ht="15.75" customHeight="1">
      <c r="A841" s="12"/>
      <c r="B841" s="3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</row>
    <row r="842" ht="15.75" customHeight="1">
      <c r="A842" s="12"/>
      <c r="B842" s="3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</row>
    <row r="843" ht="15.75" customHeight="1">
      <c r="A843" s="12"/>
      <c r="B843" s="3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</row>
    <row r="844" ht="15.75" customHeight="1">
      <c r="A844" s="12"/>
      <c r="B844" s="3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</row>
    <row r="845" ht="15.75" customHeight="1">
      <c r="A845" s="12"/>
      <c r="B845" s="3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</row>
    <row r="846" ht="15.75" customHeight="1">
      <c r="A846" s="12"/>
      <c r="B846" s="3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</row>
    <row r="847" ht="15.75" customHeight="1">
      <c r="A847" s="12"/>
      <c r="B847" s="3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</row>
    <row r="848" ht="15.75" customHeight="1">
      <c r="A848" s="12"/>
      <c r="B848" s="3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</row>
    <row r="849" ht="15.75" customHeight="1">
      <c r="A849" s="12"/>
      <c r="B849" s="3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</row>
    <row r="850" ht="15.75" customHeight="1">
      <c r="A850" s="12"/>
      <c r="B850" s="3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</row>
    <row r="851" ht="15.75" customHeight="1">
      <c r="A851" s="12"/>
      <c r="B851" s="3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</row>
    <row r="852" ht="15.75" customHeight="1">
      <c r="A852" s="12"/>
      <c r="B852" s="3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</row>
    <row r="853" ht="15.75" customHeight="1">
      <c r="A853" s="12"/>
      <c r="B853" s="3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</row>
    <row r="854" ht="15.75" customHeight="1">
      <c r="A854" s="12"/>
      <c r="B854" s="3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</row>
    <row r="855" ht="15.75" customHeight="1">
      <c r="A855" s="12"/>
      <c r="B855" s="3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</row>
    <row r="856" ht="15.75" customHeight="1">
      <c r="A856" s="12"/>
      <c r="B856" s="3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</row>
    <row r="857" ht="15.75" customHeight="1">
      <c r="A857" s="12"/>
      <c r="B857" s="3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</row>
    <row r="858" ht="15.75" customHeight="1">
      <c r="A858" s="12"/>
      <c r="B858" s="3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</row>
    <row r="859" ht="15.75" customHeight="1">
      <c r="A859" s="12"/>
      <c r="B859" s="3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</row>
    <row r="860" ht="15.75" customHeight="1">
      <c r="A860" s="12"/>
      <c r="B860" s="3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</row>
    <row r="861" ht="15.75" customHeight="1">
      <c r="A861" s="12"/>
      <c r="B861" s="3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</row>
    <row r="862" ht="15.75" customHeight="1">
      <c r="A862" s="12"/>
      <c r="B862" s="3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</row>
    <row r="863" ht="15.75" customHeight="1">
      <c r="A863" s="12"/>
      <c r="B863" s="3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</row>
    <row r="864" ht="15.75" customHeight="1">
      <c r="A864" s="12"/>
      <c r="B864" s="3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</row>
    <row r="865" ht="15.75" customHeight="1">
      <c r="A865" s="12"/>
      <c r="B865" s="3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</row>
    <row r="866" ht="15.75" customHeight="1">
      <c r="A866" s="12"/>
      <c r="B866" s="3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</row>
    <row r="867" ht="15.75" customHeight="1">
      <c r="A867" s="12"/>
      <c r="B867" s="3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</row>
    <row r="868" ht="15.75" customHeight="1">
      <c r="A868" s="12"/>
      <c r="B868" s="3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</row>
    <row r="869" ht="15.75" customHeight="1">
      <c r="A869" s="12"/>
      <c r="B869" s="3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</row>
    <row r="870" ht="15.75" customHeight="1">
      <c r="A870" s="12"/>
      <c r="B870" s="3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</row>
    <row r="871" ht="15.75" customHeight="1">
      <c r="A871" s="12"/>
      <c r="B871" s="3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</row>
    <row r="872" ht="15.75" customHeight="1">
      <c r="A872" s="12"/>
      <c r="B872" s="3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</row>
    <row r="873" ht="15.75" customHeight="1">
      <c r="A873" s="12"/>
      <c r="B873" s="3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</row>
    <row r="874" ht="15.75" customHeight="1">
      <c r="A874" s="12"/>
      <c r="B874" s="3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</row>
    <row r="875" ht="15.75" customHeight="1">
      <c r="A875" s="12"/>
      <c r="B875" s="3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</row>
    <row r="876" ht="15.75" customHeight="1">
      <c r="A876" s="12"/>
      <c r="B876" s="3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</row>
    <row r="877" ht="15.75" customHeight="1">
      <c r="A877" s="12"/>
      <c r="B877" s="3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</row>
    <row r="878" ht="15.75" customHeight="1">
      <c r="A878" s="12"/>
      <c r="B878" s="3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</row>
    <row r="879" ht="15.75" customHeight="1">
      <c r="A879" s="12"/>
      <c r="B879" s="3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</row>
    <row r="880" ht="15.75" customHeight="1">
      <c r="A880" s="12"/>
      <c r="B880" s="3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</row>
    <row r="881" ht="15.75" customHeight="1">
      <c r="A881" s="12"/>
      <c r="B881" s="3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</row>
    <row r="882" ht="15.75" customHeight="1">
      <c r="A882" s="12"/>
      <c r="B882" s="3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</row>
    <row r="883" ht="15.75" customHeight="1">
      <c r="A883" s="12"/>
      <c r="B883" s="3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</row>
    <row r="884" ht="15.75" customHeight="1">
      <c r="A884" s="12"/>
      <c r="B884" s="3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</row>
    <row r="885" ht="15.75" customHeight="1">
      <c r="A885" s="12"/>
      <c r="B885" s="3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</row>
    <row r="886" ht="15.75" customHeight="1">
      <c r="A886" s="12"/>
      <c r="B886" s="3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</row>
    <row r="887" ht="15.75" customHeight="1">
      <c r="A887" s="12"/>
      <c r="B887" s="3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</row>
    <row r="888" ht="15.75" customHeight="1">
      <c r="A888" s="12"/>
      <c r="B888" s="3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</row>
    <row r="889" ht="15.75" customHeight="1">
      <c r="A889" s="12"/>
      <c r="B889" s="3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</row>
    <row r="890" ht="15.75" customHeight="1">
      <c r="A890" s="12"/>
      <c r="B890" s="3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</row>
    <row r="891" ht="15.75" customHeight="1">
      <c r="A891" s="12"/>
      <c r="B891" s="3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</row>
    <row r="892" ht="15.75" customHeight="1">
      <c r="A892" s="12"/>
      <c r="B892" s="3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</row>
    <row r="893" ht="15.75" customHeight="1">
      <c r="A893" s="12"/>
      <c r="B893" s="3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</row>
    <row r="894" ht="15.75" customHeight="1">
      <c r="A894" s="12"/>
      <c r="B894" s="3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</row>
    <row r="895" ht="15.75" customHeight="1">
      <c r="A895" s="12"/>
      <c r="B895" s="3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</row>
    <row r="896" ht="15.75" customHeight="1">
      <c r="A896" s="12"/>
      <c r="B896" s="3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</row>
    <row r="897" ht="15.75" customHeight="1">
      <c r="A897" s="12"/>
      <c r="B897" s="3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</row>
    <row r="898" ht="15.75" customHeight="1">
      <c r="A898" s="12"/>
      <c r="B898" s="3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</row>
    <row r="899" ht="15.75" customHeight="1">
      <c r="A899" s="12"/>
      <c r="B899" s="3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</row>
    <row r="900" ht="15.75" customHeight="1">
      <c r="A900" s="12"/>
      <c r="B900" s="3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</row>
    <row r="901" ht="15.75" customHeight="1">
      <c r="A901" s="12"/>
      <c r="B901" s="3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</row>
    <row r="902" ht="15.75" customHeight="1">
      <c r="A902" s="12"/>
      <c r="B902" s="3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</row>
    <row r="903" ht="15.75" customHeight="1">
      <c r="A903" s="12"/>
      <c r="B903" s="3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</row>
    <row r="904" ht="15.75" customHeight="1">
      <c r="A904" s="12"/>
      <c r="B904" s="3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</row>
    <row r="905" ht="15.75" customHeight="1">
      <c r="A905" s="12"/>
      <c r="B905" s="3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</row>
    <row r="906" ht="15.75" customHeight="1">
      <c r="A906" s="12"/>
      <c r="B906" s="3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</row>
    <row r="907" ht="15.75" customHeight="1">
      <c r="A907" s="12"/>
      <c r="B907" s="3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</row>
    <row r="908" ht="15.75" customHeight="1">
      <c r="A908" s="12"/>
      <c r="B908" s="3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</row>
    <row r="909" ht="15.75" customHeight="1">
      <c r="A909" s="12"/>
      <c r="B909" s="3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</row>
    <row r="910" ht="15.75" customHeight="1">
      <c r="A910" s="12"/>
      <c r="B910" s="3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</row>
    <row r="911" ht="15.75" customHeight="1">
      <c r="A911" s="12"/>
      <c r="B911" s="3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</row>
    <row r="912" ht="15.75" customHeight="1">
      <c r="A912" s="12"/>
      <c r="B912" s="3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</row>
    <row r="913" ht="15.75" customHeight="1">
      <c r="A913" s="12"/>
      <c r="B913" s="3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</row>
    <row r="914" ht="15.75" customHeight="1">
      <c r="A914" s="12"/>
      <c r="B914" s="3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</row>
    <row r="915" ht="15.75" customHeight="1">
      <c r="A915" s="12"/>
      <c r="B915" s="3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</row>
    <row r="916" ht="15.75" customHeight="1">
      <c r="A916" s="12"/>
      <c r="B916" s="3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</row>
    <row r="917" ht="15.75" customHeight="1">
      <c r="A917" s="12"/>
      <c r="B917" s="3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</row>
    <row r="918" ht="15.75" customHeight="1">
      <c r="A918" s="12"/>
      <c r="B918" s="3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</row>
    <row r="919" ht="15.75" customHeight="1">
      <c r="A919" s="12"/>
      <c r="B919" s="3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</row>
    <row r="920" ht="15.75" customHeight="1">
      <c r="A920" s="12"/>
      <c r="B920" s="3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</row>
    <row r="921" ht="15.75" customHeight="1">
      <c r="A921" s="12"/>
      <c r="B921" s="3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</row>
    <row r="922" ht="15.75" customHeight="1">
      <c r="A922" s="12"/>
      <c r="B922" s="3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</row>
    <row r="923" ht="15.75" customHeight="1">
      <c r="A923" s="12"/>
      <c r="B923" s="3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</row>
    <row r="924" ht="15.75" customHeight="1">
      <c r="A924" s="12"/>
      <c r="B924" s="3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</row>
    <row r="925" ht="15.75" customHeight="1">
      <c r="A925" s="12"/>
      <c r="B925" s="3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</row>
    <row r="926" ht="15.75" customHeight="1">
      <c r="A926" s="12"/>
      <c r="B926" s="3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</row>
    <row r="927" ht="15.75" customHeight="1">
      <c r="A927" s="12"/>
      <c r="B927" s="3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</row>
    <row r="928" ht="15.75" customHeight="1">
      <c r="A928" s="12"/>
      <c r="B928" s="3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</row>
    <row r="929" ht="15.75" customHeight="1">
      <c r="A929" s="12"/>
      <c r="B929" s="3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</row>
    <row r="930" ht="15.75" customHeight="1">
      <c r="A930" s="12"/>
      <c r="B930" s="3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</row>
    <row r="931" ht="15.75" customHeight="1">
      <c r="A931" s="12"/>
      <c r="B931" s="3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</row>
    <row r="932" ht="15.75" customHeight="1">
      <c r="A932" s="12"/>
      <c r="B932" s="3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</row>
    <row r="933" ht="15.75" customHeight="1">
      <c r="A933" s="12"/>
      <c r="B933" s="3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</row>
    <row r="934" ht="15.75" customHeight="1">
      <c r="A934" s="12"/>
      <c r="B934" s="3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</row>
    <row r="935" ht="15.75" customHeight="1">
      <c r="A935" s="12"/>
      <c r="B935" s="3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</row>
    <row r="936" ht="15.75" customHeight="1">
      <c r="A936" s="12"/>
      <c r="B936" s="3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</row>
    <row r="937" ht="15.75" customHeight="1">
      <c r="A937" s="12"/>
      <c r="B937" s="3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</row>
    <row r="938" ht="15.75" customHeight="1">
      <c r="A938" s="12"/>
      <c r="B938" s="3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</row>
    <row r="939" ht="15.75" customHeight="1">
      <c r="A939" s="12"/>
      <c r="B939" s="3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</row>
    <row r="940" ht="15.75" customHeight="1">
      <c r="A940" s="12"/>
      <c r="B940" s="3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</row>
    <row r="941" ht="15.75" customHeight="1">
      <c r="A941" s="12"/>
      <c r="B941" s="3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</row>
    <row r="942" ht="15.75" customHeight="1">
      <c r="A942" s="12"/>
      <c r="B942" s="3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</row>
    <row r="943" ht="15.75" customHeight="1">
      <c r="A943" s="12"/>
      <c r="B943" s="3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</row>
    <row r="944" ht="15.75" customHeight="1">
      <c r="A944" s="12"/>
      <c r="B944" s="3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</row>
    <row r="945" ht="15.75" customHeight="1">
      <c r="A945" s="12"/>
      <c r="B945" s="3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</row>
    <row r="946" ht="15.75" customHeight="1">
      <c r="A946" s="12"/>
      <c r="B946" s="3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</row>
    <row r="947" ht="15.75" customHeight="1">
      <c r="A947" s="12"/>
      <c r="B947" s="3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</row>
    <row r="948" ht="15.75" customHeight="1">
      <c r="A948" s="12"/>
      <c r="B948" s="3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</row>
    <row r="949" ht="15.75" customHeight="1">
      <c r="A949" s="12"/>
      <c r="B949" s="3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</row>
    <row r="950" ht="15.75" customHeight="1">
      <c r="A950" s="12"/>
      <c r="B950" s="3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</row>
    <row r="951" ht="15.75" customHeight="1">
      <c r="A951" s="12"/>
      <c r="B951" s="3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</row>
    <row r="952" ht="15.75" customHeight="1">
      <c r="A952" s="12"/>
      <c r="B952" s="3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</row>
    <row r="953" ht="15.75" customHeight="1">
      <c r="A953" s="12"/>
      <c r="B953" s="3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</row>
    <row r="954" ht="15.75" customHeight="1">
      <c r="A954" s="12"/>
      <c r="B954" s="3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</row>
    <row r="955" ht="15.75" customHeight="1">
      <c r="A955" s="12"/>
      <c r="B955" s="3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</row>
    <row r="956" ht="15.75" customHeight="1">
      <c r="A956" s="12"/>
      <c r="B956" s="3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</row>
    <row r="957" ht="15.75" customHeight="1">
      <c r="A957" s="12"/>
      <c r="B957" s="3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</row>
    <row r="958" ht="15.75" customHeight="1">
      <c r="A958" s="12"/>
      <c r="B958" s="3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</row>
    <row r="959" ht="15.75" customHeight="1">
      <c r="A959" s="12"/>
      <c r="B959" s="3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</row>
    <row r="960" ht="15.75" customHeight="1">
      <c r="A960" s="12"/>
      <c r="B960" s="3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</row>
    <row r="961" ht="15.75" customHeight="1">
      <c r="A961" s="12"/>
      <c r="B961" s="3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</row>
    <row r="962" ht="15.75" customHeight="1">
      <c r="A962" s="12"/>
      <c r="B962" s="3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</row>
    <row r="963" ht="15.75" customHeight="1">
      <c r="A963" s="12"/>
      <c r="B963" s="3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</row>
    <row r="964" ht="15.75" customHeight="1">
      <c r="A964" s="12"/>
      <c r="B964" s="3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</row>
    <row r="965" ht="15.75" customHeight="1">
      <c r="A965" s="12"/>
      <c r="B965" s="3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</row>
    <row r="966" ht="15.75" customHeight="1">
      <c r="A966" s="12"/>
      <c r="B966" s="3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</row>
    <row r="967" ht="15.75" customHeight="1">
      <c r="A967" s="12"/>
      <c r="B967" s="3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</row>
    <row r="968" ht="15.75" customHeight="1">
      <c r="A968" s="12"/>
      <c r="B968" s="3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</row>
    <row r="969" ht="15.75" customHeight="1">
      <c r="A969" s="12"/>
      <c r="B969" s="3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</row>
    <row r="970" ht="15.75" customHeight="1">
      <c r="A970" s="12"/>
      <c r="B970" s="3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</row>
    <row r="971" ht="15.75" customHeight="1">
      <c r="A971" s="12"/>
      <c r="B971" s="3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</row>
    <row r="972" ht="15.75" customHeight="1">
      <c r="A972" s="12"/>
      <c r="B972" s="3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</row>
    <row r="973" ht="15.75" customHeight="1">
      <c r="A973" s="12"/>
      <c r="B973" s="3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</row>
    <row r="974" ht="15.75" customHeight="1">
      <c r="A974" s="12"/>
      <c r="B974" s="3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</row>
    <row r="975" ht="15.75" customHeight="1">
      <c r="A975" s="12"/>
      <c r="B975" s="3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</row>
    <row r="976" ht="15.75" customHeight="1">
      <c r="A976" s="12"/>
      <c r="B976" s="3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</row>
    <row r="977" ht="15.75" customHeight="1">
      <c r="A977" s="12"/>
      <c r="B977" s="3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</row>
    <row r="978" ht="15.75" customHeight="1">
      <c r="A978" s="12"/>
      <c r="B978" s="3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</row>
    <row r="979" ht="15.75" customHeight="1">
      <c r="A979" s="12"/>
      <c r="B979" s="3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</row>
    <row r="980" ht="15.75" customHeight="1">
      <c r="A980" s="12"/>
      <c r="B980" s="3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</row>
    <row r="981" ht="15.75" customHeight="1">
      <c r="A981" s="12"/>
      <c r="B981" s="3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</row>
    <row r="982" ht="15.75" customHeight="1">
      <c r="A982" s="12"/>
      <c r="B982" s="3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</row>
    <row r="983" ht="15.75" customHeight="1">
      <c r="A983" s="12"/>
      <c r="B983" s="3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</row>
    <row r="984" ht="15.75" customHeight="1">
      <c r="A984" s="12"/>
      <c r="B984" s="3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</row>
    <row r="985" ht="15.75" customHeight="1">
      <c r="A985" s="12"/>
      <c r="B985" s="3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</row>
    <row r="986" ht="15.75" customHeight="1">
      <c r="A986" s="12"/>
      <c r="B986" s="3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</row>
    <row r="987" ht="15.75" customHeight="1">
      <c r="A987" s="12"/>
      <c r="B987" s="3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</row>
    <row r="988" ht="15.75" customHeight="1">
      <c r="A988" s="12"/>
      <c r="B988" s="3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</row>
    <row r="989" ht="15.75" customHeight="1">
      <c r="A989" s="12"/>
      <c r="B989" s="3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</row>
    <row r="990" ht="15.75" customHeight="1">
      <c r="A990" s="12"/>
      <c r="B990" s="3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</row>
    <row r="991" ht="15.75" customHeight="1">
      <c r="A991" s="12"/>
      <c r="B991" s="3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</row>
    <row r="992" ht="15.75" customHeight="1">
      <c r="A992" s="12"/>
      <c r="B992" s="3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</row>
    <row r="993" ht="15.75" customHeight="1">
      <c r="A993" s="12"/>
      <c r="B993" s="3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</row>
    <row r="994" ht="15.75" customHeight="1">
      <c r="A994" s="12"/>
      <c r="B994" s="3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</row>
    <row r="995" ht="15.75" customHeight="1">
      <c r="A995" s="12"/>
      <c r="B995" s="3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</row>
    <row r="996" ht="15.75" customHeight="1">
      <c r="A996" s="12"/>
      <c r="B996" s="3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</row>
    <row r="997" ht="15.75" customHeight="1">
      <c r="A997" s="12"/>
      <c r="B997" s="3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</row>
    <row r="998" ht="15.75" customHeight="1">
      <c r="A998" s="12"/>
      <c r="B998" s="3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</row>
    <row r="999" ht="15.75" customHeight="1">
      <c r="A999" s="12"/>
      <c r="B999" s="3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</row>
    <row r="1000" ht="15.75" customHeight="1">
      <c r="A1000" s="12"/>
      <c r="B1000" s="3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R1000" s="12"/>
      <c r="S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</row>
  </sheetData>
  <mergeCells count="81">
    <mergeCell ref="G13:I13"/>
    <mergeCell ref="J13:L13"/>
    <mergeCell ref="B8:F8"/>
    <mergeCell ref="B9:F9"/>
    <mergeCell ref="G9:K9"/>
    <mergeCell ref="B10:F10"/>
    <mergeCell ref="G10:K10"/>
    <mergeCell ref="B12:L12"/>
    <mergeCell ref="B13:F13"/>
    <mergeCell ref="B17:F17"/>
    <mergeCell ref="G17:I17"/>
    <mergeCell ref="J17:L17"/>
    <mergeCell ref="B18:F18"/>
    <mergeCell ref="G18:I18"/>
    <mergeCell ref="J18:L18"/>
    <mergeCell ref="A35:B35"/>
    <mergeCell ref="D35:E35"/>
    <mergeCell ref="B15:F15"/>
    <mergeCell ref="G15:I15"/>
    <mergeCell ref="J15:L15"/>
    <mergeCell ref="P15:Q15"/>
    <mergeCell ref="B16:F16"/>
    <mergeCell ref="G16:I16"/>
    <mergeCell ref="J16:L16"/>
    <mergeCell ref="AC11:AF11"/>
    <mergeCell ref="AC12:AF12"/>
    <mergeCell ref="AG12:AJ12"/>
    <mergeCell ref="AC13:AF13"/>
    <mergeCell ref="AG13:AJ13"/>
    <mergeCell ref="AC14:AF14"/>
    <mergeCell ref="AG14:AJ14"/>
    <mergeCell ref="AC17:AF17"/>
    <mergeCell ref="T18:AA18"/>
    <mergeCell ref="AC15:AF15"/>
    <mergeCell ref="AG15:AJ15"/>
    <mergeCell ref="AL15:AN15"/>
    <mergeCell ref="AC16:AF16"/>
    <mergeCell ref="AG16:AJ16"/>
    <mergeCell ref="AL16:AN16"/>
    <mergeCell ref="AG17:AJ17"/>
    <mergeCell ref="A1:AR1"/>
    <mergeCell ref="H2:M2"/>
    <mergeCell ref="N2:S2"/>
    <mergeCell ref="T2:Y2"/>
    <mergeCell ref="Z2:AE2"/>
    <mergeCell ref="AF2:AK2"/>
    <mergeCell ref="AL2:AR2"/>
    <mergeCell ref="A2:G2"/>
    <mergeCell ref="H3:M4"/>
    <mergeCell ref="N3:S4"/>
    <mergeCell ref="T3:Y4"/>
    <mergeCell ref="Z3:AE4"/>
    <mergeCell ref="AF3:AK4"/>
    <mergeCell ref="AL3:AR4"/>
    <mergeCell ref="A3:G4"/>
    <mergeCell ref="B5:C5"/>
    <mergeCell ref="B6:K6"/>
    <mergeCell ref="AC6:AD6"/>
    <mergeCell ref="AE6:AJ6"/>
    <mergeCell ref="AL6:AQ6"/>
    <mergeCell ref="B7:F7"/>
    <mergeCell ref="AL7:AQ7"/>
    <mergeCell ref="N7:P7"/>
    <mergeCell ref="Q7:U7"/>
    <mergeCell ref="G8:K8"/>
    <mergeCell ref="N8:P8"/>
    <mergeCell ref="Q8:U8"/>
    <mergeCell ref="AC8:AF8"/>
    <mergeCell ref="AG8:AJ8"/>
    <mergeCell ref="AC9:AF9"/>
    <mergeCell ref="AG9:AJ9"/>
    <mergeCell ref="AC10:AF10"/>
    <mergeCell ref="AG10:AJ10"/>
    <mergeCell ref="AL10:AQ10"/>
    <mergeCell ref="AG11:AJ11"/>
    <mergeCell ref="AL11:AQ11"/>
    <mergeCell ref="B14:F14"/>
    <mergeCell ref="G14:I14"/>
    <mergeCell ref="J14:L14"/>
    <mergeCell ref="AL13:AQ13"/>
    <mergeCell ref="AL14:AQ14"/>
  </mergeCells>
  <conditionalFormatting sqref="AL14:AM14">
    <cfRule type="timePeriod" dxfId="8" priority="1" timePeriod="today"/>
  </conditionalFormatting>
  <dataValidations>
    <dataValidation type="list" allowBlank="1" showErrorMessage="1" sqref="AL14 AR14">
      <formula1>"JANUARY,FEBRUARY,MARCH,APRIL,MAY,JUNE,JULY,AUGUST,SEPTEMBER,OCTOBER,NOVEMBER,DECEMBER"</formula1>
    </dataValidation>
    <dataValidation type="list" allowBlank="1" showErrorMessage="1" sqref="AL16">
      <formula1>"2020,2021,2022,2023,2024,2025"</formula1>
    </dataValidation>
    <dataValidation type="list" allowBlank="1" showErrorMessage="1" sqref="AL11 AR11">
      <formula1>"ASKY,QATAR,ETHIOPIAN,LUFTHANSA,VIRGIN ATLANTIC,DELTA,SOUTH AFRICAN,BRITISH,DHL"</formula1>
    </dataValidation>
    <dataValidation type="list" allowBlank="1" sqref="N8">
      <formula1>"Tank 1,Tank 2,Tank 3"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2.29"/>
    <col customWidth="1" min="2" max="2" width="13.71"/>
    <col customWidth="1" min="3" max="3" width="19.29"/>
  </cols>
  <sheetData>
    <row r="1">
      <c r="A1" s="250" t="s">
        <v>62</v>
      </c>
      <c r="B1" s="251" t="s">
        <v>63</v>
      </c>
      <c r="C1" s="251" t="s">
        <v>64</v>
      </c>
      <c r="D1" s="251" t="s">
        <v>7</v>
      </c>
      <c r="E1" s="177" t="s">
        <v>287</v>
      </c>
      <c r="F1" s="251" t="s">
        <v>66</v>
      </c>
      <c r="G1" s="178" t="s">
        <v>67</v>
      </c>
      <c r="H1" s="178" t="s">
        <v>55</v>
      </c>
      <c r="I1" s="178" t="s">
        <v>288</v>
      </c>
      <c r="J1" s="251" t="s">
        <v>56</v>
      </c>
      <c r="K1" s="178" t="s">
        <v>289</v>
      </c>
      <c r="L1" s="178" t="s">
        <v>104</v>
      </c>
      <c r="M1" s="178" t="s">
        <v>73</v>
      </c>
      <c r="N1" s="252" t="s">
        <v>74</v>
      </c>
    </row>
    <row r="2">
      <c r="A2" s="154">
        <v>45903.44634259259</v>
      </c>
      <c r="B2" s="155">
        <v>45903.0</v>
      </c>
      <c r="C2" s="156" t="str">
        <f t="shared" ref="C2:C25" si="1">text(B2,"mmmm")</f>
        <v>September</v>
      </c>
      <c r="D2" s="157" t="s">
        <v>10</v>
      </c>
      <c r="E2" s="157" t="s">
        <v>75</v>
      </c>
      <c r="F2" s="157" t="s">
        <v>22</v>
      </c>
      <c r="G2" s="157">
        <v>10318.0</v>
      </c>
      <c r="H2" s="157">
        <v>761882.0</v>
      </c>
      <c r="I2" s="156">
        <f t="shared" ref="I2:I7" si="2">IF(E2="Loading",H2-G2,H2+G2)</f>
        <v>751564</v>
      </c>
      <c r="J2" s="157">
        <v>751610.0</v>
      </c>
      <c r="K2" s="156" t="str">
        <f t="shared" ref="K2:K7" si="3">abs('T-01 Activities'!$J$2:$J$25-'T-01 Activities'!$H$2:$H$25)</f>
        <v>#REF!</v>
      </c>
      <c r="L2" s="156">
        <f t="shared" ref="L2:L25" si="4">J2-I2</f>
        <v>46</v>
      </c>
      <c r="M2" s="157" t="s">
        <v>76</v>
      </c>
      <c r="N2" s="159" t="str">
        <f t="shared" ref="N2:N25" si="5">iferror(ifs(E:E="Loading","Outflow",or(E:E="Discharge", E:E= "Bowser Transfer"),"Inflow"), "No Data")</f>
        <v>Outflow</v>
      </c>
    </row>
    <row r="3">
      <c r="A3" s="154">
        <v>45903.663402777776</v>
      </c>
      <c r="B3" s="155">
        <v>45903.0</v>
      </c>
      <c r="C3" s="156" t="str">
        <f t="shared" si="1"/>
        <v>September</v>
      </c>
      <c r="D3" s="157" t="s">
        <v>10</v>
      </c>
      <c r="E3" s="157" t="s">
        <v>75</v>
      </c>
      <c r="F3" s="157" t="s">
        <v>22</v>
      </c>
      <c r="G3" s="157">
        <v>29545.0</v>
      </c>
      <c r="H3" s="157">
        <v>751610.0</v>
      </c>
      <c r="I3" s="156">
        <f t="shared" si="2"/>
        <v>722065</v>
      </c>
      <c r="J3" s="157">
        <v>722035.0</v>
      </c>
      <c r="K3" s="156" t="str">
        <f t="shared" si="3"/>
        <v>#REF!</v>
      </c>
      <c r="L3" s="156">
        <f t="shared" si="4"/>
        <v>-30</v>
      </c>
      <c r="M3" s="157" t="s">
        <v>77</v>
      </c>
      <c r="N3" s="159" t="str">
        <f t="shared" si="5"/>
        <v>Outflow</v>
      </c>
    </row>
    <row r="4">
      <c r="A4" s="154">
        <v>45903.67787037037</v>
      </c>
      <c r="B4" s="155">
        <v>45903.0</v>
      </c>
      <c r="C4" s="156" t="str">
        <f t="shared" si="1"/>
        <v>September</v>
      </c>
      <c r="D4" s="157" t="s">
        <v>10</v>
      </c>
      <c r="E4" s="157" t="s">
        <v>75</v>
      </c>
      <c r="F4" s="157" t="s">
        <v>36</v>
      </c>
      <c r="G4" s="157">
        <v>15350.0</v>
      </c>
      <c r="H4" s="157">
        <v>722035.0</v>
      </c>
      <c r="I4" s="156">
        <f t="shared" si="2"/>
        <v>706685</v>
      </c>
      <c r="J4" s="157">
        <v>706470.0</v>
      </c>
      <c r="K4" s="156" t="str">
        <f t="shared" si="3"/>
        <v>#REF!</v>
      </c>
      <c r="L4" s="156">
        <f t="shared" si="4"/>
        <v>-215</v>
      </c>
      <c r="M4" s="157" t="s">
        <v>76</v>
      </c>
      <c r="N4" s="159" t="str">
        <f t="shared" si="5"/>
        <v>Outflow</v>
      </c>
    </row>
    <row r="5">
      <c r="A5" s="154">
        <v>45904.197430555556</v>
      </c>
      <c r="B5" s="155">
        <v>45904.0</v>
      </c>
      <c r="C5" s="156" t="str">
        <f t="shared" si="1"/>
        <v>September</v>
      </c>
      <c r="D5" s="157" t="s">
        <v>10</v>
      </c>
      <c r="E5" s="157" t="s">
        <v>75</v>
      </c>
      <c r="F5" s="157" t="s">
        <v>59</v>
      </c>
      <c r="G5" s="157">
        <v>47990.0</v>
      </c>
      <c r="H5" s="157">
        <v>706470.0</v>
      </c>
      <c r="I5" s="156">
        <f t="shared" si="2"/>
        <v>658480</v>
      </c>
      <c r="J5" s="157">
        <v>657907.0</v>
      </c>
      <c r="K5" s="156" t="str">
        <f t="shared" si="3"/>
        <v>#REF!</v>
      </c>
      <c r="L5" s="156">
        <f t="shared" si="4"/>
        <v>-573</v>
      </c>
      <c r="M5" s="157" t="s">
        <v>77</v>
      </c>
      <c r="N5" s="159" t="str">
        <f t="shared" si="5"/>
        <v>Outflow</v>
      </c>
    </row>
    <row r="6">
      <c r="A6" s="154">
        <v>45904.41326388889</v>
      </c>
      <c r="B6" s="155">
        <v>45904.0</v>
      </c>
      <c r="C6" s="156" t="str">
        <f t="shared" si="1"/>
        <v>September</v>
      </c>
      <c r="D6" s="157" t="s">
        <v>10</v>
      </c>
      <c r="E6" s="157" t="s">
        <v>75</v>
      </c>
      <c r="F6" s="157" t="s">
        <v>22</v>
      </c>
      <c r="G6" s="157">
        <v>32081.0</v>
      </c>
      <c r="H6" s="157">
        <v>657907.0</v>
      </c>
      <c r="I6" s="156">
        <f t="shared" si="2"/>
        <v>625826</v>
      </c>
      <c r="J6" s="157">
        <v>625541.0</v>
      </c>
      <c r="K6" s="156" t="str">
        <f t="shared" si="3"/>
        <v>#REF!</v>
      </c>
      <c r="L6" s="156">
        <f t="shared" si="4"/>
        <v>-285</v>
      </c>
      <c r="M6" s="157" t="s">
        <v>76</v>
      </c>
      <c r="N6" s="159" t="str">
        <f t="shared" si="5"/>
        <v>Outflow</v>
      </c>
    </row>
    <row r="7">
      <c r="A7" s="154">
        <v>45904.425833333335</v>
      </c>
      <c r="B7" s="155">
        <v>45904.0</v>
      </c>
      <c r="C7" s="156" t="str">
        <f t="shared" si="1"/>
        <v>September</v>
      </c>
      <c r="D7" s="157" t="s">
        <v>10</v>
      </c>
      <c r="E7" s="157" t="s">
        <v>75</v>
      </c>
      <c r="F7" s="157" t="s">
        <v>36</v>
      </c>
      <c r="G7" s="157">
        <v>12500.0</v>
      </c>
      <c r="H7" s="157">
        <v>625541.0</v>
      </c>
      <c r="I7" s="156">
        <f t="shared" si="2"/>
        <v>613041</v>
      </c>
      <c r="J7" s="157">
        <v>613101.0</v>
      </c>
      <c r="K7" s="156" t="str">
        <f t="shared" si="3"/>
        <v>#REF!</v>
      </c>
      <c r="L7" s="156">
        <f t="shared" si="4"/>
        <v>60</v>
      </c>
      <c r="M7" s="157" t="s">
        <v>76</v>
      </c>
      <c r="N7" s="159" t="str">
        <f t="shared" si="5"/>
        <v>Outflow</v>
      </c>
    </row>
    <row r="8">
      <c r="A8" s="154">
        <v>45904.48778946759</v>
      </c>
      <c r="B8" s="155">
        <v>45903.0</v>
      </c>
      <c r="C8" s="156" t="str">
        <f t="shared" si="1"/>
        <v>September</v>
      </c>
      <c r="D8" s="157" t="s">
        <v>13</v>
      </c>
      <c r="E8" s="157" t="s">
        <v>75</v>
      </c>
      <c r="F8" s="157" t="s">
        <v>36</v>
      </c>
      <c r="G8" s="157">
        <v>28620.0</v>
      </c>
      <c r="H8" s="157">
        <v>35325.0</v>
      </c>
      <c r="I8" s="156">
        <f t="shared" ref="I8:I9" si="6">if(E8="Loading",H8-G8,H8+G8)</f>
        <v>6705</v>
      </c>
      <c r="J8" s="157">
        <v>6664.0</v>
      </c>
      <c r="K8" s="156">
        <f t="shared" ref="K8:K9" si="7">abs(J8-H8)</f>
        <v>28661</v>
      </c>
      <c r="L8" s="156">
        <f t="shared" si="4"/>
        <v>-41</v>
      </c>
      <c r="M8" s="157" t="s">
        <v>76</v>
      </c>
      <c r="N8" s="253" t="str">
        <f t="shared" si="5"/>
        <v>Outflow</v>
      </c>
    </row>
    <row r="9">
      <c r="A9" s="154">
        <v>45904.49286761574</v>
      </c>
      <c r="B9" s="155">
        <v>45903.0</v>
      </c>
      <c r="C9" s="156" t="str">
        <f t="shared" si="1"/>
        <v>September</v>
      </c>
      <c r="D9" s="157" t="s">
        <v>13</v>
      </c>
      <c r="E9" s="157" t="s">
        <v>75</v>
      </c>
      <c r="F9" s="157" t="s">
        <v>22</v>
      </c>
      <c r="G9" s="157">
        <v>6758.0</v>
      </c>
      <c r="H9" s="157">
        <v>6664.0</v>
      </c>
      <c r="I9" s="156">
        <f t="shared" si="6"/>
        <v>-94</v>
      </c>
      <c r="J9" s="157">
        <v>0.0</v>
      </c>
      <c r="K9" s="156">
        <f t="shared" si="7"/>
        <v>6664</v>
      </c>
      <c r="L9" s="156">
        <f t="shared" si="4"/>
        <v>94</v>
      </c>
      <c r="M9" s="157" t="s">
        <v>76</v>
      </c>
      <c r="N9" s="253" t="str">
        <f t="shared" si="5"/>
        <v>Outflow</v>
      </c>
    </row>
    <row r="10">
      <c r="A10" s="154">
        <v>45904.65219907407</v>
      </c>
      <c r="B10" s="155">
        <v>45904.0</v>
      </c>
      <c r="C10" s="156" t="str">
        <f t="shared" si="1"/>
        <v>September</v>
      </c>
      <c r="D10" s="157" t="s">
        <v>10</v>
      </c>
      <c r="E10" s="157" t="s">
        <v>75</v>
      </c>
      <c r="F10" s="157" t="s">
        <v>22</v>
      </c>
      <c r="G10" s="157">
        <v>28321.0</v>
      </c>
      <c r="H10" s="157">
        <v>613101.0</v>
      </c>
      <c r="I10" s="156">
        <f>IF(E10="Loading",H10-G10,H10+G10)</f>
        <v>584780</v>
      </c>
      <c r="J10" s="157">
        <v>584073.0</v>
      </c>
      <c r="K10" s="156" t="str">
        <f>abs('T-01 Activities'!$J$2:$J$25-'T-01 Activities'!$H$2:$H$25)</f>
        <v>#REF!</v>
      </c>
      <c r="L10" s="156">
        <f t="shared" si="4"/>
        <v>-707</v>
      </c>
      <c r="M10" s="157" t="s">
        <v>76</v>
      </c>
      <c r="N10" s="159" t="str">
        <f t="shared" si="5"/>
        <v>Outflow</v>
      </c>
    </row>
    <row r="11">
      <c r="A11" s="154">
        <v>45905.95327612269</v>
      </c>
      <c r="B11" s="155">
        <v>45905.0</v>
      </c>
      <c r="C11" s="156" t="str">
        <f t="shared" si="1"/>
        <v>September</v>
      </c>
      <c r="D11" s="157" t="s">
        <v>13</v>
      </c>
      <c r="E11" s="157" t="s">
        <v>78</v>
      </c>
      <c r="F11" s="157" t="s">
        <v>79</v>
      </c>
      <c r="G11" s="157">
        <v>44910.0</v>
      </c>
      <c r="H11" s="157">
        <v>0.0</v>
      </c>
      <c r="I11" s="156">
        <f t="shared" ref="I11:I19" si="8">if(E11="Loading",H11-G11,H11+G11)</f>
        <v>44910</v>
      </c>
      <c r="J11" s="157">
        <v>45409.0</v>
      </c>
      <c r="K11" s="156">
        <f t="shared" ref="K11:K19" si="9">abs(J11-H11)</f>
        <v>45409</v>
      </c>
      <c r="L11" s="156">
        <f t="shared" si="4"/>
        <v>499</v>
      </c>
      <c r="M11" s="157" t="s">
        <v>80</v>
      </c>
      <c r="N11" s="253" t="str">
        <f t="shared" si="5"/>
        <v>Inflow</v>
      </c>
    </row>
    <row r="12">
      <c r="A12" s="154">
        <v>45905.95424071759</v>
      </c>
      <c r="B12" s="155">
        <v>45905.0</v>
      </c>
      <c r="C12" s="156" t="str">
        <f t="shared" si="1"/>
        <v>September</v>
      </c>
      <c r="D12" s="157" t="s">
        <v>13</v>
      </c>
      <c r="E12" s="157" t="s">
        <v>78</v>
      </c>
      <c r="F12" s="157" t="s">
        <v>81</v>
      </c>
      <c r="G12" s="157">
        <v>44900.0</v>
      </c>
      <c r="H12" s="157">
        <v>45409.0</v>
      </c>
      <c r="I12" s="156">
        <f t="shared" si="8"/>
        <v>90309</v>
      </c>
      <c r="J12" s="157">
        <v>90844.0</v>
      </c>
      <c r="K12" s="156">
        <f t="shared" si="9"/>
        <v>45435</v>
      </c>
      <c r="L12" s="156">
        <f t="shared" si="4"/>
        <v>535</v>
      </c>
      <c r="M12" s="157" t="s">
        <v>82</v>
      </c>
      <c r="N12" s="253" t="str">
        <f t="shared" si="5"/>
        <v>Inflow</v>
      </c>
    </row>
    <row r="13">
      <c r="A13" s="154">
        <v>45905.95512831019</v>
      </c>
      <c r="B13" s="155">
        <v>45905.0</v>
      </c>
      <c r="C13" s="156" t="str">
        <f t="shared" si="1"/>
        <v>September</v>
      </c>
      <c r="D13" s="157" t="s">
        <v>13</v>
      </c>
      <c r="E13" s="157" t="s">
        <v>78</v>
      </c>
      <c r="F13" s="157" t="s">
        <v>83</v>
      </c>
      <c r="G13" s="157">
        <v>39930.0</v>
      </c>
      <c r="H13" s="157">
        <v>90844.0</v>
      </c>
      <c r="I13" s="156">
        <f t="shared" si="8"/>
        <v>130774</v>
      </c>
      <c r="J13" s="157">
        <v>130189.0</v>
      </c>
      <c r="K13" s="156">
        <f t="shared" si="9"/>
        <v>39345</v>
      </c>
      <c r="L13" s="156">
        <f t="shared" si="4"/>
        <v>-585</v>
      </c>
      <c r="M13" s="157" t="s">
        <v>82</v>
      </c>
      <c r="N13" s="253" t="str">
        <f t="shared" si="5"/>
        <v>Inflow</v>
      </c>
    </row>
    <row r="14">
      <c r="A14" s="154">
        <v>45905.95604160879</v>
      </c>
      <c r="B14" s="155">
        <v>45905.0</v>
      </c>
      <c r="C14" s="156" t="str">
        <f t="shared" si="1"/>
        <v>September</v>
      </c>
      <c r="D14" s="157" t="s">
        <v>13</v>
      </c>
      <c r="E14" s="157" t="s">
        <v>78</v>
      </c>
      <c r="F14" s="157" t="s">
        <v>84</v>
      </c>
      <c r="G14" s="157">
        <v>44880.0</v>
      </c>
      <c r="H14" s="157">
        <v>130189.0</v>
      </c>
      <c r="I14" s="156">
        <f t="shared" si="8"/>
        <v>175069</v>
      </c>
      <c r="J14" s="157">
        <v>175612.0</v>
      </c>
      <c r="K14" s="156">
        <f t="shared" si="9"/>
        <v>45423</v>
      </c>
      <c r="L14" s="156">
        <f t="shared" si="4"/>
        <v>543</v>
      </c>
      <c r="M14" s="157" t="s">
        <v>76</v>
      </c>
      <c r="N14" s="253" t="str">
        <f t="shared" si="5"/>
        <v>Inflow</v>
      </c>
    </row>
    <row r="15">
      <c r="A15" s="154">
        <v>45905.95708886574</v>
      </c>
      <c r="B15" s="155">
        <v>45905.0</v>
      </c>
      <c r="C15" s="156" t="str">
        <f t="shared" si="1"/>
        <v>September</v>
      </c>
      <c r="D15" s="157" t="s">
        <v>13</v>
      </c>
      <c r="E15" s="157" t="s">
        <v>78</v>
      </c>
      <c r="F15" s="157" t="s">
        <v>85</v>
      </c>
      <c r="G15" s="157">
        <v>44930.0</v>
      </c>
      <c r="H15" s="157">
        <v>175612.0</v>
      </c>
      <c r="I15" s="156">
        <f t="shared" si="8"/>
        <v>220542</v>
      </c>
      <c r="J15" s="157">
        <v>220628.0</v>
      </c>
      <c r="K15" s="156">
        <f t="shared" si="9"/>
        <v>45016</v>
      </c>
      <c r="L15" s="156">
        <f t="shared" si="4"/>
        <v>86</v>
      </c>
      <c r="M15" s="157" t="s">
        <v>76</v>
      </c>
      <c r="N15" s="253" t="str">
        <f t="shared" si="5"/>
        <v>Inflow</v>
      </c>
    </row>
    <row r="16">
      <c r="A16" s="154">
        <v>45905.958537557875</v>
      </c>
      <c r="B16" s="155">
        <v>45905.0</v>
      </c>
      <c r="C16" s="156" t="str">
        <f t="shared" si="1"/>
        <v>September</v>
      </c>
      <c r="D16" s="157" t="s">
        <v>13</v>
      </c>
      <c r="E16" s="157" t="s">
        <v>78</v>
      </c>
      <c r="F16" s="157" t="s">
        <v>86</v>
      </c>
      <c r="G16" s="157">
        <v>44910.0</v>
      </c>
      <c r="H16" s="157">
        <v>220628.0</v>
      </c>
      <c r="I16" s="156">
        <f t="shared" si="8"/>
        <v>265538</v>
      </c>
      <c r="J16" s="157">
        <v>265540.0</v>
      </c>
      <c r="K16" s="156">
        <f t="shared" si="9"/>
        <v>44912</v>
      </c>
      <c r="L16" s="156">
        <f t="shared" si="4"/>
        <v>2</v>
      </c>
      <c r="M16" s="157" t="s">
        <v>77</v>
      </c>
      <c r="N16" s="253" t="str">
        <f t="shared" si="5"/>
        <v>Inflow</v>
      </c>
    </row>
    <row r="17">
      <c r="A17" s="154">
        <v>45905.98246857639</v>
      </c>
      <c r="B17" s="155">
        <v>45905.0</v>
      </c>
      <c r="C17" s="156" t="str">
        <f t="shared" si="1"/>
        <v>September</v>
      </c>
      <c r="D17" s="157" t="s">
        <v>13</v>
      </c>
      <c r="E17" s="157" t="s">
        <v>78</v>
      </c>
      <c r="F17" s="157" t="s">
        <v>87</v>
      </c>
      <c r="G17" s="157">
        <v>44900.0</v>
      </c>
      <c r="H17" s="157">
        <v>265540.0</v>
      </c>
      <c r="I17" s="156">
        <f t="shared" si="8"/>
        <v>310440</v>
      </c>
      <c r="J17" s="157">
        <v>310349.0</v>
      </c>
      <c r="K17" s="156">
        <f t="shared" si="9"/>
        <v>44809</v>
      </c>
      <c r="L17" s="156">
        <f t="shared" si="4"/>
        <v>-91</v>
      </c>
      <c r="M17" s="157" t="s">
        <v>77</v>
      </c>
      <c r="N17" s="253" t="str">
        <f t="shared" si="5"/>
        <v>Inflow</v>
      </c>
    </row>
    <row r="18">
      <c r="A18" s="154">
        <v>45906.03527278935</v>
      </c>
      <c r="B18" s="155">
        <v>45905.0</v>
      </c>
      <c r="C18" s="156" t="str">
        <f t="shared" si="1"/>
        <v>September</v>
      </c>
      <c r="D18" s="157" t="s">
        <v>13</v>
      </c>
      <c r="E18" s="157" t="s">
        <v>78</v>
      </c>
      <c r="F18" s="157" t="s">
        <v>88</v>
      </c>
      <c r="G18" s="157">
        <v>44900.0</v>
      </c>
      <c r="H18" s="157">
        <v>310349.0</v>
      </c>
      <c r="I18" s="156">
        <f t="shared" si="8"/>
        <v>355249</v>
      </c>
      <c r="J18" s="157">
        <v>354961.0</v>
      </c>
      <c r="K18" s="156">
        <f t="shared" si="9"/>
        <v>44612</v>
      </c>
      <c r="L18" s="156">
        <f t="shared" si="4"/>
        <v>-288</v>
      </c>
      <c r="M18" s="157" t="s">
        <v>77</v>
      </c>
      <c r="N18" s="253" t="str">
        <f t="shared" si="5"/>
        <v>Inflow</v>
      </c>
    </row>
    <row r="19">
      <c r="A19" s="154">
        <v>45906.12240944445</v>
      </c>
      <c r="B19" s="155">
        <v>45905.0</v>
      </c>
      <c r="C19" s="156" t="str">
        <f t="shared" si="1"/>
        <v>September</v>
      </c>
      <c r="D19" s="157" t="s">
        <v>13</v>
      </c>
      <c r="E19" s="157" t="s">
        <v>78</v>
      </c>
      <c r="F19" s="157" t="s">
        <v>89</v>
      </c>
      <c r="G19" s="157">
        <v>44900.0</v>
      </c>
      <c r="H19" s="157">
        <v>354961.0</v>
      </c>
      <c r="I19" s="156">
        <f t="shared" si="8"/>
        <v>399861</v>
      </c>
      <c r="J19" s="157">
        <v>400097.0</v>
      </c>
      <c r="K19" s="156">
        <f t="shared" si="9"/>
        <v>45136</v>
      </c>
      <c r="L19" s="156">
        <f t="shared" si="4"/>
        <v>236</v>
      </c>
      <c r="M19" s="157" t="s">
        <v>77</v>
      </c>
      <c r="N19" s="253" t="str">
        <f t="shared" si="5"/>
        <v>Inflow</v>
      </c>
    </row>
    <row r="20">
      <c r="A20" s="154">
        <v>45906.15311564815</v>
      </c>
      <c r="B20" s="155">
        <v>45905.0</v>
      </c>
      <c r="C20" s="156" t="str">
        <f t="shared" si="1"/>
        <v>September</v>
      </c>
      <c r="D20" s="157" t="s">
        <v>10</v>
      </c>
      <c r="E20" s="157" t="s">
        <v>75</v>
      </c>
      <c r="F20" s="157" t="s">
        <v>22</v>
      </c>
      <c r="G20" s="157">
        <v>26524.0</v>
      </c>
      <c r="H20" s="157">
        <v>581896.0</v>
      </c>
      <c r="I20" s="156">
        <f t="shared" ref="I20:I25" si="10">IF(E20="Loading",H20-G20,H20+G20)</f>
        <v>555372</v>
      </c>
      <c r="J20" s="157">
        <v>555150.0</v>
      </c>
      <c r="K20" s="156" t="str">
        <f t="shared" ref="K20:K25" si="11">abs('T-01 Activities'!$J$2:$J$25-'T-01 Activities'!$H$2:$H$25)</f>
        <v>#REF!</v>
      </c>
      <c r="L20" s="156">
        <f t="shared" si="4"/>
        <v>-222</v>
      </c>
      <c r="M20" s="157" t="s">
        <v>80</v>
      </c>
      <c r="N20" s="159" t="str">
        <f t="shared" si="5"/>
        <v>Outflow</v>
      </c>
    </row>
    <row r="21">
      <c r="A21" s="154">
        <v>45906.15418841435</v>
      </c>
      <c r="B21" s="155">
        <v>45905.0</v>
      </c>
      <c r="C21" s="156" t="str">
        <f t="shared" si="1"/>
        <v>September</v>
      </c>
      <c r="D21" s="157" t="s">
        <v>10</v>
      </c>
      <c r="E21" s="157" t="s">
        <v>75</v>
      </c>
      <c r="F21" s="157" t="s">
        <v>36</v>
      </c>
      <c r="G21" s="157">
        <v>14120.0</v>
      </c>
      <c r="H21" s="157">
        <v>555150.0</v>
      </c>
      <c r="I21" s="156">
        <f t="shared" si="10"/>
        <v>541030</v>
      </c>
      <c r="J21" s="157">
        <v>541880.0</v>
      </c>
      <c r="K21" s="156" t="str">
        <f t="shared" si="11"/>
        <v>#REF!</v>
      </c>
      <c r="L21" s="156">
        <f t="shared" si="4"/>
        <v>850</v>
      </c>
      <c r="M21" s="157" t="s">
        <v>80</v>
      </c>
      <c r="N21" s="159" t="str">
        <f t="shared" si="5"/>
        <v>Outflow</v>
      </c>
    </row>
    <row r="22">
      <c r="A22" s="154">
        <v>45906.154997245365</v>
      </c>
      <c r="B22" s="155">
        <v>45905.0</v>
      </c>
      <c r="C22" s="156" t="str">
        <f t="shared" si="1"/>
        <v>September</v>
      </c>
      <c r="D22" s="157" t="s">
        <v>10</v>
      </c>
      <c r="E22" s="157" t="s">
        <v>75</v>
      </c>
      <c r="F22" s="157" t="s">
        <v>22</v>
      </c>
      <c r="G22" s="157">
        <v>32618.0</v>
      </c>
      <c r="H22" s="157">
        <v>541880.0</v>
      </c>
      <c r="I22" s="156">
        <f t="shared" si="10"/>
        <v>509262</v>
      </c>
      <c r="J22" s="157">
        <v>509224.0</v>
      </c>
      <c r="K22" s="156" t="str">
        <f t="shared" si="11"/>
        <v>#REF!</v>
      </c>
      <c r="L22" s="156">
        <f t="shared" si="4"/>
        <v>-38</v>
      </c>
      <c r="M22" s="157" t="s">
        <v>80</v>
      </c>
      <c r="N22" s="253" t="str">
        <f t="shared" si="5"/>
        <v>Outflow</v>
      </c>
    </row>
    <row r="23">
      <c r="A23" s="154">
        <v>45906.15610908565</v>
      </c>
      <c r="B23" s="155">
        <v>45905.0</v>
      </c>
      <c r="C23" s="156" t="str">
        <f t="shared" si="1"/>
        <v>September</v>
      </c>
      <c r="D23" s="157" t="s">
        <v>10</v>
      </c>
      <c r="E23" s="157" t="s">
        <v>75</v>
      </c>
      <c r="F23" s="157" t="s">
        <v>36</v>
      </c>
      <c r="G23" s="157">
        <v>29540.0</v>
      </c>
      <c r="H23" s="157">
        <v>509224.0</v>
      </c>
      <c r="I23" s="156">
        <f t="shared" si="10"/>
        <v>479684</v>
      </c>
      <c r="J23" s="157">
        <v>479367.0</v>
      </c>
      <c r="K23" s="156" t="str">
        <f t="shared" si="11"/>
        <v>#REF!</v>
      </c>
      <c r="L23" s="156">
        <f t="shared" si="4"/>
        <v>-317</v>
      </c>
      <c r="M23" s="157" t="s">
        <v>77</v>
      </c>
      <c r="N23" s="253" t="str">
        <f t="shared" si="5"/>
        <v>Outflow</v>
      </c>
    </row>
    <row r="24">
      <c r="A24" s="154">
        <v>45906.83074881944</v>
      </c>
      <c r="B24" s="155">
        <v>45906.0</v>
      </c>
      <c r="C24" s="156" t="str">
        <f t="shared" si="1"/>
        <v>September</v>
      </c>
      <c r="D24" s="157" t="s">
        <v>10</v>
      </c>
      <c r="E24" s="157" t="s">
        <v>75</v>
      </c>
      <c r="F24" s="157" t="s">
        <v>22</v>
      </c>
      <c r="G24" s="157">
        <v>26016.0</v>
      </c>
      <c r="H24" s="157">
        <v>479367.0</v>
      </c>
      <c r="I24" s="156">
        <f t="shared" si="10"/>
        <v>453351</v>
      </c>
      <c r="J24" s="157">
        <v>453359.0</v>
      </c>
      <c r="K24" s="156" t="str">
        <f t="shared" si="11"/>
        <v>#REF!</v>
      </c>
      <c r="L24" s="156">
        <f t="shared" si="4"/>
        <v>8</v>
      </c>
      <c r="M24" s="157" t="s">
        <v>82</v>
      </c>
      <c r="N24" s="253" t="str">
        <f t="shared" si="5"/>
        <v>Outflow</v>
      </c>
    </row>
    <row r="25">
      <c r="A25" s="254">
        <v>45906.83189854167</v>
      </c>
      <c r="B25" s="255">
        <v>45906.0</v>
      </c>
      <c r="C25" s="192" t="str">
        <f t="shared" si="1"/>
        <v>September</v>
      </c>
      <c r="D25" s="256" t="s">
        <v>10</v>
      </c>
      <c r="E25" s="256" t="s">
        <v>75</v>
      </c>
      <c r="F25" s="256" t="s">
        <v>36</v>
      </c>
      <c r="G25" s="256">
        <v>18010.0</v>
      </c>
      <c r="H25" s="256">
        <v>453359.0</v>
      </c>
      <c r="I25" s="192">
        <f t="shared" si="10"/>
        <v>435349</v>
      </c>
      <c r="J25" s="256">
        <v>435537.0</v>
      </c>
      <c r="K25" s="192" t="str">
        <f t="shared" si="11"/>
        <v>#REF!</v>
      </c>
      <c r="L25" s="192">
        <f t="shared" si="4"/>
        <v>188</v>
      </c>
      <c r="M25" s="256" t="s">
        <v>82</v>
      </c>
      <c r="N25" s="257" t="str">
        <f t="shared" si="5"/>
        <v>Outflow</v>
      </c>
    </row>
    <row r="26">
      <c r="A26" s="258"/>
      <c r="B26" s="130"/>
      <c r="C26" s="130"/>
      <c r="D26" s="130"/>
      <c r="E26" s="259"/>
      <c r="F26" s="260"/>
    </row>
    <row r="27">
      <c r="A27" s="258"/>
      <c r="B27" s="130"/>
      <c r="C27" s="130"/>
      <c r="D27" s="130"/>
      <c r="E27" s="259"/>
      <c r="F27" s="260"/>
    </row>
    <row r="28">
      <c r="A28" s="258"/>
      <c r="B28" s="130"/>
      <c r="C28" s="130"/>
      <c r="D28" s="130"/>
      <c r="E28" s="259"/>
      <c r="F28" s="260"/>
    </row>
    <row r="29">
      <c r="A29" s="258"/>
      <c r="B29" s="130"/>
      <c r="C29" s="130"/>
      <c r="D29" s="130"/>
      <c r="E29" s="259"/>
      <c r="F29" s="260"/>
    </row>
    <row r="30">
      <c r="A30" s="258"/>
      <c r="B30" s="130"/>
      <c r="C30" s="130"/>
      <c r="D30" s="130"/>
      <c r="E30" s="259"/>
      <c r="F30" s="260"/>
    </row>
    <row r="31">
      <c r="A31" s="258"/>
      <c r="B31" s="130"/>
      <c r="C31" s="130"/>
      <c r="D31" s="130"/>
      <c r="E31" s="259"/>
      <c r="F31" s="260"/>
    </row>
    <row r="32">
      <c r="A32" s="258"/>
      <c r="B32" s="130"/>
      <c r="C32" s="130"/>
      <c r="D32" s="130"/>
      <c r="E32" s="259"/>
      <c r="F32" s="260"/>
    </row>
    <row r="33">
      <c r="A33" s="258"/>
      <c r="B33" s="130"/>
      <c r="C33" s="130"/>
      <c r="D33" s="130"/>
      <c r="E33" s="259"/>
      <c r="F33" s="260"/>
    </row>
    <row r="34">
      <c r="A34" s="258"/>
      <c r="B34" s="130"/>
      <c r="C34" s="130"/>
      <c r="D34" s="130"/>
      <c r="E34" s="259"/>
      <c r="F34" s="260"/>
    </row>
    <row r="35">
      <c r="A35" s="258"/>
      <c r="B35" s="130"/>
      <c r="C35" s="130"/>
      <c r="D35" s="130"/>
      <c r="E35" s="259"/>
      <c r="F35" s="260"/>
    </row>
    <row r="36">
      <c r="A36" s="258"/>
      <c r="B36" s="130"/>
      <c r="C36" s="130"/>
      <c r="D36" s="130"/>
      <c r="E36" s="259"/>
      <c r="F36" s="260"/>
    </row>
    <row r="37">
      <c r="A37" s="258"/>
      <c r="B37" s="130"/>
      <c r="C37" s="130"/>
      <c r="D37" s="130"/>
      <c r="E37" s="259"/>
      <c r="F37" s="260"/>
    </row>
    <row r="38">
      <c r="A38" s="258"/>
      <c r="B38" s="130"/>
      <c r="C38" s="130"/>
      <c r="D38" s="130"/>
      <c r="E38" s="259"/>
      <c r="F38" s="260"/>
    </row>
    <row r="39">
      <c r="A39" s="258"/>
      <c r="B39" s="130"/>
      <c r="C39" s="130"/>
      <c r="D39" s="130"/>
      <c r="E39" s="259"/>
      <c r="F39" s="260"/>
    </row>
    <row r="40">
      <c r="A40" s="258"/>
      <c r="B40" s="130"/>
      <c r="C40" s="130"/>
      <c r="D40" s="130"/>
      <c r="E40" s="259"/>
      <c r="F40" s="260"/>
    </row>
    <row r="41">
      <c r="A41" s="258"/>
      <c r="B41" s="130"/>
      <c r="C41" s="130"/>
      <c r="D41" s="130"/>
      <c r="E41" s="259"/>
      <c r="F41" s="260"/>
    </row>
    <row r="42">
      <c r="A42" s="258"/>
      <c r="B42" s="130"/>
      <c r="C42" s="130"/>
      <c r="D42" s="130"/>
      <c r="E42" s="259"/>
      <c r="F42" s="260"/>
    </row>
    <row r="43">
      <c r="A43" s="258"/>
      <c r="B43" s="130"/>
      <c r="C43" s="130"/>
      <c r="D43" s="130"/>
      <c r="E43" s="259"/>
      <c r="F43" s="260"/>
    </row>
    <row r="44">
      <c r="A44" s="258"/>
      <c r="B44" s="130"/>
      <c r="C44" s="130"/>
      <c r="D44" s="130"/>
      <c r="E44" s="259"/>
      <c r="F44" s="260"/>
    </row>
    <row r="45">
      <c r="A45" s="258"/>
      <c r="B45" s="130"/>
      <c r="C45" s="130"/>
      <c r="D45" s="130"/>
      <c r="E45" s="259"/>
      <c r="F45" s="260"/>
    </row>
    <row r="46">
      <c r="A46" s="258"/>
      <c r="B46" s="130"/>
      <c r="C46" s="130"/>
      <c r="D46" s="130"/>
      <c r="E46" s="259"/>
      <c r="F46" s="260"/>
    </row>
    <row r="47">
      <c r="A47" s="258"/>
      <c r="B47" s="130"/>
      <c r="C47" s="130"/>
      <c r="D47" s="130"/>
      <c r="E47" s="259"/>
      <c r="F47" s="260"/>
    </row>
    <row r="48">
      <c r="A48" s="258"/>
      <c r="B48" s="130"/>
      <c r="C48" s="130"/>
      <c r="D48" s="130"/>
      <c r="E48" s="259"/>
      <c r="F48" s="260"/>
    </row>
    <row r="49">
      <c r="A49" s="258"/>
      <c r="B49" s="130"/>
      <c r="C49" s="130"/>
      <c r="D49" s="130"/>
      <c r="E49" s="259"/>
      <c r="F49" s="260"/>
    </row>
    <row r="50">
      <c r="A50" s="258"/>
      <c r="B50" s="130"/>
      <c r="C50" s="130"/>
      <c r="D50" s="130"/>
      <c r="E50" s="259"/>
      <c r="F50" s="260"/>
    </row>
    <row r="51">
      <c r="A51" s="258"/>
      <c r="B51" s="130"/>
      <c r="C51" s="130"/>
      <c r="D51" s="130"/>
      <c r="E51" s="259"/>
      <c r="F51" s="260"/>
    </row>
    <row r="52">
      <c r="A52" s="258"/>
      <c r="B52" s="130"/>
      <c r="C52" s="130"/>
      <c r="D52" s="130"/>
      <c r="E52" s="259"/>
      <c r="F52" s="260"/>
    </row>
    <row r="53">
      <c r="A53" s="258"/>
      <c r="B53" s="130"/>
      <c r="C53" s="130"/>
      <c r="D53" s="130"/>
      <c r="E53" s="259"/>
      <c r="F53" s="260"/>
    </row>
    <row r="54">
      <c r="A54" s="258"/>
      <c r="B54" s="130"/>
      <c r="C54" s="130"/>
      <c r="D54" s="130"/>
      <c r="E54" s="259"/>
      <c r="F54" s="260"/>
    </row>
    <row r="55">
      <c r="A55" s="258"/>
      <c r="B55" s="130"/>
      <c r="C55" s="130"/>
      <c r="D55" s="130"/>
      <c r="E55" s="259"/>
      <c r="F55" s="260"/>
    </row>
    <row r="56">
      <c r="A56" s="258"/>
      <c r="B56" s="130"/>
      <c r="C56" s="130"/>
      <c r="D56" s="130"/>
      <c r="E56" s="259"/>
      <c r="F56" s="260"/>
    </row>
    <row r="57">
      <c r="A57" s="258"/>
      <c r="B57" s="130"/>
      <c r="C57" s="130"/>
      <c r="D57" s="130"/>
      <c r="E57" s="259"/>
      <c r="F57" s="260"/>
    </row>
    <row r="58">
      <c r="A58" s="258"/>
      <c r="B58" s="130"/>
      <c r="C58" s="130"/>
      <c r="D58" s="130"/>
      <c r="E58" s="259"/>
      <c r="F58" s="260"/>
    </row>
    <row r="59">
      <c r="A59" s="258"/>
      <c r="B59" s="130"/>
      <c r="C59" s="130"/>
      <c r="D59" s="130"/>
      <c r="E59" s="259"/>
      <c r="F59" s="260"/>
    </row>
    <row r="60">
      <c r="A60" s="258"/>
      <c r="B60" s="130"/>
      <c r="C60" s="130"/>
      <c r="D60" s="130"/>
      <c r="E60" s="259"/>
      <c r="F60" s="260"/>
    </row>
    <row r="61">
      <c r="A61" s="258"/>
      <c r="B61" s="130"/>
      <c r="C61" s="130"/>
      <c r="D61" s="130"/>
      <c r="E61" s="259"/>
      <c r="F61" s="260"/>
    </row>
    <row r="62">
      <c r="A62" s="258"/>
      <c r="B62" s="130"/>
      <c r="C62" s="130"/>
      <c r="D62" s="130"/>
      <c r="E62" s="259"/>
      <c r="F62" s="260"/>
    </row>
    <row r="63">
      <c r="A63" s="258"/>
      <c r="B63" s="130"/>
      <c r="C63" s="130"/>
      <c r="D63" s="130"/>
      <c r="E63" s="259"/>
      <c r="F63" s="260"/>
    </row>
    <row r="64">
      <c r="A64" s="258"/>
      <c r="B64" s="130"/>
      <c r="C64" s="130"/>
      <c r="D64" s="130"/>
      <c r="E64" s="259"/>
      <c r="F64" s="260"/>
    </row>
    <row r="65">
      <c r="A65" s="258"/>
      <c r="B65" s="130"/>
      <c r="C65" s="130"/>
      <c r="D65" s="130"/>
      <c r="E65" s="259"/>
      <c r="F65" s="260"/>
    </row>
    <row r="66">
      <c r="A66" s="258"/>
      <c r="B66" s="130"/>
      <c r="C66" s="130"/>
      <c r="D66" s="130"/>
      <c r="E66" s="259"/>
      <c r="F66" s="260"/>
    </row>
    <row r="67">
      <c r="A67" s="258"/>
      <c r="B67" s="130"/>
      <c r="C67" s="130"/>
      <c r="D67" s="130"/>
      <c r="E67" s="259"/>
      <c r="F67" s="260"/>
    </row>
    <row r="68">
      <c r="A68" s="258"/>
      <c r="B68" s="130"/>
      <c r="C68" s="130"/>
      <c r="D68" s="130"/>
      <c r="E68" s="259"/>
      <c r="F68" s="260"/>
    </row>
    <row r="69">
      <c r="A69" s="258"/>
      <c r="B69" s="130"/>
      <c r="C69" s="130"/>
      <c r="D69" s="130"/>
      <c r="E69" s="259"/>
      <c r="F69" s="260"/>
    </row>
    <row r="70">
      <c r="A70" s="258"/>
      <c r="B70" s="130"/>
      <c r="C70" s="130"/>
      <c r="D70" s="130"/>
      <c r="E70" s="259"/>
      <c r="F70" s="260"/>
    </row>
    <row r="71">
      <c r="A71" s="258"/>
      <c r="B71" s="130"/>
      <c r="C71" s="130"/>
      <c r="D71" s="130"/>
      <c r="E71" s="259"/>
      <c r="F71" s="260"/>
    </row>
    <row r="72">
      <c r="A72" s="258"/>
      <c r="B72" s="130"/>
      <c r="C72" s="130"/>
      <c r="D72" s="130"/>
      <c r="E72" s="259"/>
      <c r="F72" s="260"/>
    </row>
    <row r="73">
      <c r="A73" s="258"/>
      <c r="B73" s="130"/>
      <c r="C73" s="130"/>
      <c r="D73" s="130"/>
      <c r="E73" s="259"/>
      <c r="F73" s="260"/>
    </row>
    <row r="74">
      <c r="A74" s="258"/>
      <c r="B74" s="130"/>
      <c r="C74" s="130"/>
      <c r="D74" s="130"/>
      <c r="E74" s="259"/>
      <c r="F74" s="260"/>
    </row>
    <row r="75">
      <c r="A75" s="258"/>
      <c r="B75" s="130"/>
      <c r="C75" s="130"/>
      <c r="D75" s="130"/>
      <c r="E75" s="259"/>
      <c r="F75" s="260"/>
    </row>
    <row r="76">
      <c r="A76" s="258"/>
      <c r="B76" s="130"/>
      <c r="C76" s="130"/>
      <c r="D76" s="130"/>
      <c r="E76" s="259"/>
      <c r="F76" s="260"/>
    </row>
    <row r="77">
      <c r="A77" s="258"/>
      <c r="B77" s="130"/>
      <c r="C77" s="130"/>
      <c r="D77" s="130"/>
      <c r="E77" s="259"/>
      <c r="F77" s="260"/>
    </row>
    <row r="78">
      <c r="A78" s="258"/>
      <c r="B78" s="130"/>
      <c r="C78" s="130"/>
      <c r="D78" s="130"/>
      <c r="E78" s="259"/>
      <c r="F78" s="260"/>
    </row>
    <row r="79">
      <c r="A79" s="258"/>
      <c r="B79" s="130"/>
      <c r="C79" s="130"/>
      <c r="D79" s="130"/>
      <c r="E79" s="259"/>
      <c r="F79" s="260"/>
    </row>
    <row r="80">
      <c r="A80" s="258"/>
      <c r="B80" s="130"/>
      <c r="C80" s="130"/>
      <c r="D80" s="130"/>
      <c r="E80" s="259"/>
      <c r="F80" s="260"/>
    </row>
    <row r="81">
      <c r="A81" s="258"/>
      <c r="B81" s="130"/>
      <c r="C81" s="130"/>
      <c r="D81" s="130"/>
      <c r="E81" s="259"/>
      <c r="F81" s="260"/>
    </row>
    <row r="82">
      <c r="A82" s="258"/>
      <c r="B82" s="130"/>
      <c r="C82" s="130"/>
      <c r="D82" s="130"/>
      <c r="E82" s="259"/>
      <c r="F82" s="260"/>
    </row>
    <row r="83">
      <c r="A83" s="258"/>
      <c r="B83" s="130"/>
      <c r="C83" s="130"/>
      <c r="D83" s="130"/>
      <c r="E83" s="259"/>
      <c r="F83" s="260"/>
    </row>
    <row r="84">
      <c r="A84" s="258"/>
      <c r="B84" s="130"/>
      <c r="C84" s="130"/>
      <c r="D84" s="130"/>
      <c r="E84" s="259"/>
      <c r="F84" s="260"/>
    </row>
    <row r="85">
      <c r="A85" s="258"/>
      <c r="B85" s="130"/>
      <c r="C85" s="130"/>
      <c r="D85" s="130"/>
      <c r="E85" s="259"/>
      <c r="F85" s="260"/>
    </row>
    <row r="86">
      <c r="A86" s="258"/>
      <c r="B86" s="130"/>
      <c r="C86" s="130"/>
      <c r="D86" s="130"/>
      <c r="E86" s="259"/>
      <c r="F86" s="260"/>
    </row>
    <row r="87">
      <c r="A87" s="258"/>
      <c r="B87" s="130"/>
      <c r="C87" s="130"/>
      <c r="D87" s="130"/>
      <c r="E87" s="259"/>
      <c r="F87" s="260"/>
    </row>
    <row r="88">
      <c r="A88" s="258"/>
      <c r="B88" s="130"/>
      <c r="C88" s="130"/>
      <c r="D88" s="130"/>
      <c r="E88" s="259"/>
      <c r="F88" s="260"/>
    </row>
    <row r="89">
      <c r="A89" s="258"/>
      <c r="B89" s="130"/>
      <c r="C89" s="130"/>
      <c r="D89" s="130"/>
      <c r="E89" s="259"/>
      <c r="F89" s="260"/>
    </row>
    <row r="90">
      <c r="A90" s="258"/>
      <c r="B90" s="130"/>
      <c r="C90" s="130"/>
      <c r="D90" s="130"/>
      <c r="E90" s="259"/>
      <c r="F90" s="260"/>
    </row>
    <row r="91">
      <c r="A91" s="258"/>
      <c r="B91" s="130"/>
      <c r="C91" s="130"/>
      <c r="D91" s="130"/>
      <c r="E91" s="259"/>
      <c r="F91" s="260"/>
    </row>
    <row r="92">
      <c r="A92" s="258"/>
      <c r="B92" s="130"/>
      <c r="C92" s="130"/>
      <c r="D92" s="130"/>
      <c r="E92" s="259"/>
      <c r="F92" s="260"/>
    </row>
    <row r="93">
      <c r="A93" s="258"/>
      <c r="B93" s="130"/>
      <c r="C93" s="130"/>
      <c r="D93" s="130"/>
      <c r="E93" s="259"/>
      <c r="F93" s="260"/>
    </row>
    <row r="94">
      <c r="A94" s="258"/>
      <c r="B94" s="130"/>
      <c r="C94" s="130"/>
      <c r="D94" s="130"/>
      <c r="E94" s="259"/>
      <c r="F94" s="260"/>
    </row>
    <row r="95">
      <c r="A95" s="258"/>
      <c r="B95" s="130"/>
      <c r="C95" s="130"/>
      <c r="D95" s="130"/>
      <c r="E95" s="259"/>
      <c r="F95" s="260"/>
    </row>
    <row r="96">
      <c r="A96" s="258"/>
      <c r="B96" s="130"/>
      <c r="C96" s="130"/>
      <c r="D96" s="130"/>
      <c r="E96" s="259"/>
      <c r="F96" s="260"/>
    </row>
    <row r="97">
      <c r="A97" s="258"/>
      <c r="B97" s="130"/>
      <c r="C97" s="130"/>
      <c r="D97" s="130"/>
      <c r="E97" s="259"/>
      <c r="F97" s="260"/>
    </row>
    <row r="98">
      <c r="A98" s="258"/>
      <c r="B98" s="130"/>
      <c r="C98" s="130"/>
      <c r="D98" s="130"/>
      <c r="E98" s="259"/>
      <c r="F98" s="260"/>
    </row>
    <row r="99">
      <c r="A99" s="258"/>
      <c r="B99" s="130"/>
      <c r="C99" s="130"/>
      <c r="D99" s="130"/>
      <c r="E99" s="259"/>
      <c r="F99" s="260"/>
    </row>
    <row r="100">
      <c r="A100" s="258"/>
      <c r="B100" s="130"/>
      <c r="C100" s="130"/>
      <c r="D100" s="130"/>
      <c r="E100" s="259"/>
      <c r="F100" s="260"/>
    </row>
    <row r="101">
      <c r="A101" s="258"/>
      <c r="B101" s="130"/>
      <c r="C101" s="130"/>
      <c r="D101" s="130"/>
      <c r="E101" s="259"/>
      <c r="F101" s="260"/>
    </row>
    <row r="102">
      <c r="A102" s="258"/>
      <c r="B102" s="130"/>
      <c r="C102" s="130"/>
      <c r="D102" s="130"/>
      <c r="E102" s="259"/>
      <c r="F102" s="260"/>
    </row>
    <row r="103">
      <c r="A103" s="258"/>
      <c r="B103" s="130"/>
      <c r="C103" s="130"/>
      <c r="D103" s="130"/>
      <c r="E103" s="259"/>
      <c r="F103" s="260"/>
    </row>
    <row r="104">
      <c r="A104" s="258"/>
      <c r="B104" s="130"/>
      <c r="C104" s="130"/>
      <c r="D104" s="130"/>
      <c r="E104" s="259"/>
      <c r="F104" s="260"/>
    </row>
    <row r="105">
      <c r="A105" s="258"/>
      <c r="B105" s="130"/>
      <c r="C105" s="130"/>
      <c r="D105" s="130"/>
      <c r="E105" s="259"/>
      <c r="F105" s="260"/>
    </row>
    <row r="106">
      <c r="A106" s="258"/>
      <c r="B106" s="130"/>
      <c r="C106" s="130"/>
      <c r="D106" s="130"/>
      <c r="E106" s="259"/>
      <c r="F106" s="260"/>
    </row>
    <row r="107">
      <c r="A107" s="258"/>
      <c r="B107" s="130"/>
      <c r="C107" s="130"/>
      <c r="D107" s="130"/>
      <c r="E107" s="259"/>
      <c r="F107" s="260"/>
    </row>
    <row r="108">
      <c r="A108" s="258"/>
      <c r="B108" s="130"/>
      <c r="C108" s="130"/>
      <c r="D108" s="130"/>
      <c r="E108" s="259"/>
      <c r="F108" s="260"/>
    </row>
    <row r="109">
      <c r="A109" s="258"/>
      <c r="B109" s="130"/>
      <c r="C109" s="130"/>
      <c r="D109" s="130"/>
      <c r="E109" s="259"/>
      <c r="F109" s="260"/>
    </row>
    <row r="110">
      <c r="A110" s="258"/>
      <c r="B110" s="130"/>
      <c r="C110" s="130"/>
      <c r="D110" s="130"/>
      <c r="E110" s="259"/>
      <c r="F110" s="260"/>
    </row>
    <row r="111">
      <c r="A111" s="258"/>
      <c r="B111" s="130"/>
      <c r="C111" s="130"/>
      <c r="D111" s="130"/>
      <c r="E111" s="259"/>
      <c r="F111" s="260"/>
    </row>
    <row r="112">
      <c r="A112" s="258"/>
      <c r="B112" s="130"/>
      <c r="C112" s="130"/>
      <c r="D112" s="130"/>
      <c r="E112" s="259"/>
      <c r="F112" s="260"/>
    </row>
    <row r="113">
      <c r="A113" s="258"/>
      <c r="B113" s="130"/>
      <c r="C113" s="130"/>
      <c r="D113" s="130"/>
      <c r="E113" s="259"/>
      <c r="F113" s="260"/>
    </row>
    <row r="114">
      <c r="A114" s="258"/>
      <c r="B114" s="130"/>
      <c r="C114" s="130"/>
      <c r="D114" s="130"/>
      <c r="E114" s="259"/>
      <c r="F114" s="260"/>
    </row>
    <row r="115">
      <c r="A115" s="258"/>
      <c r="B115" s="130"/>
      <c r="C115" s="130"/>
      <c r="D115" s="130"/>
      <c r="E115" s="259"/>
      <c r="F115" s="260"/>
    </row>
    <row r="116">
      <c r="A116" s="258"/>
      <c r="B116" s="130"/>
      <c r="C116" s="130"/>
      <c r="D116" s="130"/>
      <c r="E116" s="259"/>
      <c r="F116" s="260"/>
    </row>
    <row r="117">
      <c r="A117" s="258"/>
      <c r="B117" s="130"/>
      <c r="C117" s="130"/>
      <c r="D117" s="130"/>
      <c r="E117" s="259"/>
      <c r="F117" s="260"/>
    </row>
    <row r="118">
      <c r="A118" s="258"/>
      <c r="B118" s="130"/>
      <c r="C118" s="130"/>
      <c r="D118" s="130"/>
      <c r="E118" s="259"/>
      <c r="F118" s="260"/>
    </row>
    <row r="119">
      <c r="A119" s="258"/>
      <c r="B119" s="130"/>
      <c r="C119" s="130"/>
      <c r="D119" s="130"/>
      <c r="E119" s="259"/>
      <c r="F119" s="260"/>
    </row>
    <row r="120">
      <c r="A120" s="258"/>
      <c r="B120" s="130"/>
      <c r="C120" s="130"/>
      <c r="D120" s="130"/>
      <c r="E120" s="259"/>
      <c r="F120" s="260"/>
    </row>
    <row r="121">
      <c r="A121" s="258"/>
      <c r="B121" s="130"/>
      <c r="C121" s="130"/>
      <c r="D121" s="130"/>
      <c r="E121" s="259"/>
      <c r="F121" s="260"/>
    </row>
    <row r="122">
      <c r="A122" s="258"/>
      <c r="B122" s="130"/>
      <c r="C122" s="130"/>
      <c r="D122" s="130"/>
      <c r="E122" s="259"/>
      <c r="F122" s="260"/>
    </row>
    <row r="123">
      <c r="A123" s="258"/>
      <c r="B123" s="130"/>
      <c r="C123" s="130"/>
      <c r="D123" s="130"/>
      <c r="E123" s="259"/>
      <c r="F123" s="260"/>
    </row>
    <row r="124">
      <c r="A124" s="258"/>
      <c r="B124" s="130"/>
      <c r="C124" s="130"/>
      <c r="D124" s="130"/>
      <c r="E124" s="259"/>
      <c r="F124" s="260"/>
    </row>
    <row r="125">
      <c r="A125" s="258"/>
      <c r="B125" s="130"/>
      <c r="C125" s="130"/>
      <c r="D125" s="130"/>
      <c r="E125" s="259"/>
      <c r="F125" s="260"/>
    </row>
    <row r="126">
      <c r="A126" s="258"/>
      <c r="B126" s="130"/>
      <c r="C126" s="130"/>
      <c r="D126" s="130"/>
      <c r="E126" s="259"/>
      <c r="F126" s="260"/>
    </row>
    <row r="127">
      <c r="A127" s="258"/>
      <c r="B127" s="130"/>
      <c r="C127" s="130"/>
      <c r="D127" s="130"/>
      <c r="E127" s="259"/>
      <c r="F127" s="260"/>
    </row>
    <row r="128">
      <c r="A128" s="258"/>
      <c r="B128" s="130"/>
      <c r="C128" s="130"/>
      <c r="D128" s="130"/>
      <c r="E128" s="259"/>
      <c r="F128" s="260"/>
    </row>
    <row r="129">
      <c r="A129" s="258"/>
      <c r="B129" s="130"/>
      <c r="C129" s="130"/>
      <c r="D129" s="130"/>
      <c r="E129" s="259"/>
      <c r="F129" s="260"/>
    </row>
    <row r="130">
      <c r="A130" s="258"/>
      <c r="B130" s="130"/>
      <c r="C130" s="130"/>
      <c r="D130" s="130"/>
      <c r="E130" s="259"/>
      <c r="F130" s="260"/>
    </row>
    <row r="131">
      <c r="A131" s="258"/>
      <c r="B131" s="130"/>
      <c r="C131" s="130"/>
      <c r="D131" s="130"/>
      <c r="E131" s="259"/>
      <c r="F131" s="260"/>
    </row>
    <row r="132">
      <c r="A132" s="258"/>
      <c r="B132" s="130"/>
      <c r="C132" s="130"/>
      <c r="D132" s="130"/>
      <c r="E132" s="259"/>
      <c r="F132" s="260"/>
    </row>
    <row r="133">
      <c r="A133" s="258"/>
      <c r="B133" s="130"/>
      <c r="C133" s="130"/>
      <c r="D133" s="130"/>
      <c r="E133" s="259"/>
      <c r="F133" s="260"/>
    </row>
    <row r="134">
      <c r="A134" s="258"/>
      <c r="B134" s="130"/>
      <c r="C134" s="130"/>
      <c r="D134" s="130"/>
      <c r="E134" s="259"/>
      <c r="F134" s="260"/>
    </row>
    <row r="135">
      <c r="A135" s="258"/>
      <c r="B135" s="130"/>
      <c r="C135" s="130"/>
      <c r="D135" s="130"/>
      <c r="E135" s="259"/>
      <c r="F135" s="260"/>
    </row>
    <row r="136">
      <c r="A136" s="258"/>
      <c r="B136" s="130"/>
      <c r="C136" s="130"/>
      <c r="D136" s="130"/>
      <c r="E136" s="259"/>
      <c r="F136" s="260"/>
    </row>
    <row r="137">
      <c r="A137" s="258"/>
      <c r="B137" s="130"/>
      <c r="C137" s="130"/>
      <c r="D137" s="130"/>
      <c r="E137" s="259"/>
      <c r="F137" s="260"/>
    </row>
    <row r="138">
      <c r="A138" s="258"/>
      <c r="B138" s="130"/>
      <c r="C138" s="130"/>
      <c r="D138" s="130"/>
      <c r="E138" s="259"/>
      <c r="F138" s="260"/>
    </row>
    <row r="139">
      <c r="A139" s="258"/>
      <c r="B139" s="130"/>
      <c r="C139" s="130"/>
      <c r="D139" s="130"/>
      <c r="E139" s="259"/>
      <c r="F139" s="260"/>
    </row>
    <row r="140">
      <c r="A140" s="258"/>
      <c r="B140" s="130"/>
      <c r="C140" s="130"/>
      <c r="D140" s="130"/>
      <c r="E140" s="259"/>
      <c r="F140" s="260"/>
    </row>
    <row r="141">
      <c r="A141" s="258"/>
      <c r="B141" s="130"/>
      <c r="C141" s="130"/>
      <c r="D141" s="130"/>
      <c r="E141" s="259"/>
      <c r="F141" s="260"/>
    </row>
    <row r="142">
      <c r="A142" s="258"/>
      <c r="B142" s="130"/>
      <c r="C142" s="130"/>
      <c r="D142" s="130"/>
      <c r="E142" s="259"/>
      <c r="F142" s="260"/>
    </row>
    <row r="143">
      <c r="A143" s="258"/>
      <c r="B143" s="130"/>
      <c r="C143" s="130"/>
      <c r="D143" s="130"/>
      <c r="E143" s="259"/>
      <c r="F143" s="260"/>
    </row>
    <row r="144">
      <c r="A144" s="258"/>
      <c r="B144" s="130"/>
      <c r="C144" s="130"/>
      <c r="D144" s="130"/>
      <c r="E144" s="259"/>
      <c r="F144" s="260"/>
    </row>
    <row r="145">
      <c r="A145" s="258"/>
      <c r="B145" s="130"/>
      <c r="C145" s="130"/>
      <c r="D145" s="130"/>
      <c r="E145" s="259"/>
      <c r="F145" s="260"/>
    </row>
    <row r="146">
      <c r="A146" s="258"/>
      <c r="B146" s="130"/>
      <c r="C146" s="130"/>
      <c r="D146" s="130"/>
      <c r="E146" s="259"/>
      <c r="F146" s="260"/>
    </row>
    <row r="147">
      <c r="A147" s="258"/>
      <c r="B147" s="130"/>
      <c r="C147" s="130"/>
      <c r="D147" s="130"/>
      <c r="E147" s="259"/>
      <c r="F147" s="260"/>
    </row>
    <row r="148">
      <c r="A148" s="258"/>
      <c r="B148" s="130"/>
      <c r="C148" s="130"/>
      <c r="D148" s="130"/>
      <c r="E148" s="259"/>
      <c r="F148" s="260"/>
    </row>
    <row r="149">
      <c r="A149" s="258"/>
      <c r="B149" s="130"/>
      <c r="C149" s="130"/>
      <c r="D149" s="130"/>
      <c r="E149" s="259"/>
      <c r="F149" s="260"/>
    </row>
    <row r="150">
      <c r="A150" s="258"/>
      <c r="B150" s="130"/>
      <c r="C150" s="130"/>
      <c r="D150" s="130"/>
      <c r="E150" s="259"/>
      <c r="F150" s="260"/>
    </row>
    <row r="151">
      <c r="A151" s="258"/>
      <c r="B151" s="130"/>
      <c r="C151" s="130"/>
      <c r="D151" s="130"/>
      <c r="E151" s="259"/>
      <c r="F151" s="260"/>
    </row>
    <row r="152">
      <c r="A152" s="258"/>
      <c r="B152" s="130"/>
      <c r="C152" s="130"/>
      <c r="D152" s="130"/>
      <c r="E152" s="259"/>
      <c r="F152" s="260"/>
    </row>
    <row r="153">
      <c r="A153" s="258"/>
      <c r="B153" s="130"/>
      <c r="C153" s="130"/>
      <c r="D153" s="130"/>
      <c r="E153" s="259"/>
      <c r="F153" s="260"/>
    </row>
    <row r="154">
      <c r="A154" s="258"/>
      <c r="B154" s="130"/>
      <c r="C154" s="130"/>
      <c r="D154" s="130"/>
      <c r="E154" s="259"/>
      <c r="F154" s="260"/>
    </row>
    <row r="155">
      <c r="A155" s="258"/>
      <c r="B155" s="130"/>
      <c r="C155" s="130"/>
      <c r="D155" s="130"/>
      <c r="E155" s="259"/>
      <c r="F155" s="260"/>
    </row>
    <row r="156">
      <c r="A156" s="258"/>
      <c r="B156" s="130"/>
      <c r="C156" s="130"/>
      <c r="D156" s="130"/>
      <c r="E156" s="259"/>
      <c r="F156" s="260"/>
    </row>
    <row r="157">
      <c r="A157" s="258"/>
      <c r="B157" s="130"/>
      <c r="C157" s="130"/>
      <c r="D157" s="130"/>
      <c r="E157" s="259"/>
      <c r="F157" s="260"/>
    </row>
    <row r="158">
      <c r="A158" s="258"/>
      <c r="B158" s="130"/>
      <c r="C158" s="130"/>
      <c r="D158" s="130"/>
      <c r="E158" s="259"/>
      <c r="F158" s="260"/>
    </row>
    <row r="159">
      <c r="A159" s="258"/>
      <c r="B159" s="130"/>
      <c r="C159" s="130"/>
      <c r="D159" s="130"/>
      <c r="E159" s="259"/>
      <c r="F159" s="260"/>
    </row>
    <row r="160">
      <c r="A160" s="258"/>
      <c r="B160" s="130"/>
      <c r="C160" s="130"/>
      <c r="D160" s="130"/>
      <c r="E160" s="259"/>
      <c r="F160" s="260"/>
    </row>
    <row r="161">
      <c r="A161" s="258"/>
      <c r="B161" s="130"/>
      <c r="C161" s="130"/>
      <c r="D161" s="130"/>
      <c r="E161" s="259"/>
      <c r="F161" s="260"/>
    </row>
    <row r="162">
      <c r="A162" s="258"/>
      <c r="B162" s="130"/>
      <c r="C162" s="130"/>
      <c r="D162" s="130"/>
      <c r="E162" s="259"/>
      <c r="F162" s="260"/>
    </row>
    <row r="163">
      <c r="A163" s="258"/>
      <c r="B163" s="130"/>
      <c r="C163" s="130"/>
      <c r="D163" s="130"/>
      <c r="E163" s="259"/>
      <c r="F163" s="260"/>
    </row>
    <row r="164">
      <c r="A164" s="258"/>
      <c r="B164" s="130"/>
      <c r="C164" s="130"/>
      <c r="D164" s="130"/>
      <c r="E164" s="259"/>
      <c r="F164" s="260"/>
    </row>
    <row r="165">
      <c r="A165" s="258"/>
      <c r="B165" s="130"/>
      <c r="C165" s="130"/>
      <c r="D165" s="130"/>
      <c r="E165" s="259"/>
      <c r="F165" s="260"/>
    </row>
    <row r="166">
      <c r="A166" s="258"/>
      <c r="B166" s="130"/>
      <c r="C166" s="130"/>
      <c r="D166" s="130"/>
      <c r="E166" s="259"/>
      <c r="F166" s="260"/>
    </row>
    <row r="167">
      <c r="A167" s="258"/>
      <c r="B167" s="130"/>
      <c r="C167" s="130"/>
      <c r="D167" s="130"/>
      <c r="E167" s="259"/>
      <c r="F167" s="260"/>
    </row>
    <row r="168">
      <c r="A168" s="258"/>
      <c r="B168" s="130"/>
      <c r="C168" s="130"/>
      <c r="D168" s="130"/>
      <c r="E168" s="259"/>
      <c r="F168" s="260"/>
    </row>
    <row r="169">
      <c r="A169" s="258"/>
      <c r="B169" s="130"/>
      <c r="C169" s="130"/>
      <c r="D169" s="130"/>
      <c r="E169" s="259"/>
      <c r="F169" s="260"/>
    </row>
    <row r="170">
      <c r="A170" s="258"/>
      <c r="B170" s="130"/>
      <c r="C170" s="130"/>
      <c r="D170" s="130"/>
      <c r="E170" s="259"/>
      <c r="F170" s="260"/>
    </row>
    <row r="171">
      <c r="A171" s="258"/>
      <c r="B171" s="130"/>
      <c r="C171" s="130"/>
      <c r="D171" s="130"/>
      <c r="E171" s="259"/>
      <c r="F171" s="260"/>
    </row>
    <row r="172">
      <c r="A172" s="258"/>
      <c r="B172" s="130"/>
      <c r="C172" s="130"/>
      <c r="D172" s="130"/>
      <c r="E172" s="259"/>
      <c r="F172" s="260"/>
    </row>
    <row r="173">
      <c r="A173" s="258"/>
      <c r="B173" s="130"/>
      <c r="C173" s="130"/>
      <c r="D173" s="130"/>
      <c r="E173" s="259"/>
      <c r="F173" s="260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21.57"/>
    <col customWidth="1" min="2" max="3" width="21.57"/>
    <col customWidth="1" min="4" max="4" width="28.57"/>
    <col customWidth="1" min="5" max="12" width="21.57"/>
    <col customWidth="1" min="13" max="13" width="21.14"/>
    <col customWidth="1" min="14" max="19" width="21.57"/>
  </cols>
  <sheetData>
    <row r="1">
      <c r="A1" s="196" t="s">
        <v>62</v>
      </c>
      <c r="B1" s="197" t="s">
        <v>63</v>
      </c>
      <c r="C1" s="197" t="s">
        <v>64</v>
      </c>
      <c r="D1" s="197" t="s">
        <v>287</v>
      </c>
      <c r="E1" s="197" t="s">
        <v>66</v>
      </c>
      <c r="F1" s="197" t="s">
        <v>67</v>
      </c>
      <c r="G1" s="197" t="s">
        <v>55</v>
      </c>
      <c r="H1" s="197" t="s">
        <v>68</v>
      </c>
      <c r="I1" s="197" t="s">
        <v>56</v>
      </c>
      <c r="J1" s="197" t="s">
        <v>69</v>
      </c>
      <c r="K1" s="197" t="s">
        <v>104</v>
      </c>
      <c r="L1" s="197" t="s">
        <v>73</v>
      </c>
      <c r="M1" s="261" t="s">
        <v>74</v>
      </c>
    </row>
    <row r="2">
      <c r="A2" s="262"/>
      <c r="B2" s="263"/>
      <c r="C2" s="263" t="str">
        <f t="shared" ref="C2:C30" si="1">text(B2,"mmmm")</f>
        <v>December</v>
      </c>
      <c r="D2" s="263"/>
      <c r="E2" s="263"/>
      <c r="F2" s="263"/>
      <c r="G2" s="263"/>
      <c r="H2" s="263">
        <f t="shared" ref="H2:H30" si="2">if(D2="Loading",G2-F2,G2+F2)</f>
        <v>0</v>
      </c>
      <c r="I2" s="263"/>
      <c r="J2" s="263">
        <f>abs(Tank_3_Activities[Closing Stock]-Tank_3_Activities[Opening Stock])</f>
        <v>0</v>
      </c>
      <c r="K2" s="263">
        <f>Tank_3_Activities[Closing Stock]-Tank_3_Activities[Expected Stock]</f>
        <v>0</v>
      </c>
      <c r="L2" s="263"/>
      <c r="M2" s="264" t="str">
        <f t="shared" ref="M2:M30" si="3">iferror(ifs(D:D="Loading","Transfer",or(D:D="Discharge", D:D= "Bowser Transfer"),"Receipt"), "No Data")</f>
        <v>No Data</v>
      </c>
    </row>
    <row r="3">
      <c r="A3" s="265"/>
      <c r="B3" s="266"/>
      <c r="C3" s="266" t="str">
        <f t="shared" si="1"/>
        <v>December</v>
      </c>
      <c r="D3" s="266"/>
      <c r="E3" s="266"/>
      <c r="F3" s="266"/>
      <c r="G3" s="266"/>
      <c r="H3" s="266">
        <f t="shared" si="2"/>
        <v>0</v>
      </c>
      <c r="I3" s="266"/>
      <c r="J3" s="266">
        <f>abs(Tank_3_Activities[Closing Stock]-Tank_3_Activities[Opening Stock])</f>
        <v>0</v>
      </c>
      <c r="K3" s="266">
        <f>Tank_3_Activities[Closing Stock]-Tank_3_Activities[Expected Stock]</f>
        <v>0</v>
      </c>
      <c r="L3" s="266"/>
      <c r="M3" s="264" t="str">
        <f t="shared" si="3"/>
        <v>No Data</v>
      </c>
    </row>
    <row r="4">
      <c r="A4" s="262"/>
      <c r="B4" s="263"/>
      <c r="C4" s="263" t="str">
        <f t="shared" si="1"/>
        <v>December</v>
      </c>
      <c r="D4" s="263"/>
      <c r="E4" s="263"/>
      <c r="F4" s="263"/>
      <c r="G4" s="263"/>
      <c r="H4" s="263">
        <f t="shared" si="2"/>
        <v>0</v>
      </c>
      <c r="I4" s="263"/>
      <c r="J4" s="263">
        <f>abs(Tank_3_Activities[Closing Stock]-Tank_3_Activities[Opening Stock])</f>
        <v>0</v>
      </c>
      <c r="K4" s="263">
        <f>Tank_3_Activities[Closing Stock]-Tank_3_Activities[Expected Stock]</f>
        <v>0</v>
      </c>
      <c r="L4" s="263"/>
      <c r="M4" s="264" t="str">
        <f t="shared" si="3"/>
        <v>No Data</v>
      </c>
    </row>
    <row r="5">
      <c r="A5" s="265"/>
      <c r="B5" s="266"/>
      <c r="C5" s="266" t="str">
        <f t="shared" si="1"/>
        <v>December</v>
      </c>
      <c r="D5" s="266"/>
      <c r="E5" s="266"/>
      <c r="F5" s="266"/>
      <c r="G5" s="266"/>
      <c r="H5" s="266">
        <f t="shared" si="2"/>
        <v>0</v>
      </c>
      <c r="I5" s="266"/>
      <c r="J5" s="266">
        <f>abs(Tank_3_Activities[Closing Stock]-Tank_3_Activities[Opening Stock])</f>
        <v>0</v>
      </c>
      <c r="K5" s="266">
        <f>Tank_3_Activities[Closing Stock]-Tank_3_Activities[Expected Stock]</f>
        <v>0</v>
      </c>
      <c r="L5" s="266"/>
      <c r="M5" s="264" t="str">
        <f t="shared" si="3"/>
        <v>No Data</v>
      </c>
    </row>
    <row r="6">
      <c r="A6" s="262"/>
      <c r="B6" s="263"/>
      <c r="C6" s="263" t="str">
        <f t="shared" si="1"/>
        <v>December</v>
      </c>
      <c r="D6" s="263"/>
      <c r="E6" s="263"/>
      <c r="F6" s="263"/>
      <c r="G6" s="263"/>
      <c r="H6" s="263">
        <f t="shared" si="2"/>
        <v>0</v>
      </c>
      <c r="I6" s="263"/>
      <c r="J6" s="263">
        <f>abs(Tank_3_Activities[Closing Stock]-Tank_3_Activities[Opening Stock])</f>
        <v>0</v>
      </c>
      <c r="K6" s="263">
        <f>Tank_3_Activities[Closing Stock]-Tank_3_Activities[Expected Stock]</f>
        <v>0</v>
      </c>
      <c r="L6" s="263"/>
      <c r="M6" s="264" t="str">
        <f t="shared" si="3"/>
        <v>No Data</v>
      </c>
    </row>
    <row r="7">
      <c r="A7" s="265"/>
      <c r="B7" s="266"/>
      <c r="C7" s="266" t="str">
        <f t="shared" si="1"/>
        <v>December</v>
      </c>
      <c r="D7" s="266"/>
      <c r="E7" s="266"/>
      <c r="F7" s="266"/>
      <c r="G7" s="266"/>
      <c r="H7" s="266">
        <f t="shared" si="2"/>
        <v>0</v>
      </c>
      <c r="I7" s="266"/>
      <c r="J7" s="266">
        <f>abs(Tank_3_Activities[Closing Stock]-Tank_3_Activities[Opening Stock])</f>
        <v>0</v>
      </c>
      <c r="K7" s="266">
        <f>Tank_3_Activities[Closing Stock]-Tank_3_Activities[Expected Stock]</f>
        <v>0</v>
      </c>
      <c r="L7" s="266"/>
      <c r="M7" s="264" t="str">
        <f t="shared" si="3"/>
        <v>No Data</v>
      </c>
    </row>
    <row r="8">
      <c r="A8" s="262"/>
      <c r="B8" s="263"/>
      <c r="C8" s="263" t="str">
        <f t="shared" si="1"/>
        <v>December</v>
      </c>
      <c r="D8" s="263"/>
      <c r="E8" s="263"/>
      <c r="F8" s="263"/>
      <c r="G8" s="263"/>
      <c r="H8" s="263">
        <f t="shared" si="2"/>
        <v>0</v>
      </c>
      <c r="I8" s="263"/>
      <c r="J8" s="263">
        <f>abs(Tank_3_Activities[Closing Stock]-Tank_3_Activities[Opening Stock])</f>
        <v>0</v>
      </c>
      <c r="K8" s="263">
        <f>Tank_3_Activities[Closing Stock]-Tank_3_Activities[Expected Stock]</f>
        <v>0</v>
      </c>
      <c r="L8" s="263"/>
      <c r="M8" s="264" t="str">
        <f t="shared" si="3"/>
        <v>No Data</v>
      </c>
    </row>
    <row r="9">
      <c r="A9" s="265"/>
      <c r="B9" s="266"/>
      <c r="C9" s="266" t="str">
        <f t="shared" si="1"/>
        <v>December</v>
      </c>
      <c r="D9" s="266"/>
      <c r="E9" s="266"/>
      <c r="F9" s="266"/>
      <c r="G9" s="266"/>
      <c r="H9" s="266">
        <f t="shared" si="2"/>
        <v>0</v>
      </c>
      <c r="I9" s="266"/>
      <c r="J9" s="266">
        <f>abs(Tank_3_Activities[Closing Stock]-Tank_3_Activities[Opening Stock])</f>
        <v>0</v>
      </c>
      <c r="K9" s="266">
        <f>Tank_3_Activities[Closing Stock]-Tank_3_Activities[Expected Stock]</f>
        <v>0</v>
      </c>
      <c r="L9" s="266"/>
      <c r="M9" s="264" t="str">
        <f t="shared" si="3"/>
        <v>No Data</v>
      </c>
    </row>
    <row r="10">
      <c r="A10" s="262"/>
      <c r="B10" s="263"/>
      <c r="C10" s="263" t="str">
        <f t="shared" si="1"/>
        <v>December</v>
      </c>
      <c r="D10" s="263"/>
      <c r="E10" s="263"/>
      <c r="F10" s="263"/>
      <c r="G10" s="263"/>
      <c r="H10" s="263">
        <f t="shared" si="2"/>
        <v>0</v>
      </c>
      <c r="I10" s="263"/>
      <c r="J10" s="263">
        <f>abs(Tank_3_Activities[Closing Stock]-Tank_3_Activities[Opening Stock])</f>
        <v>0</v>
      </c>
      <c r="K10" s="263">
        <f>Tank_3_Activities[Closing Stock]-Tank_3_Activities[Expected Stock]</f>
        <v>0</v>
      </c>
      <c r="L10" s="263"/>
      <c r="M10" s="264" t="str">
        <f t="shared" si="3"/>
        <v>No Data</v>
      </c>
    </row>
    <row r="11">
      <c r="A11" s="265"/>
      <c r="B11" s="266"/>
      <c r="C11" s="266" t="str">
        <f t="shared" si="1"/>
        <v>December</v>
      </c>
      <c r="D11" s="266"/>
      <c r="E11" s="266"/>
      <c r="F11" s="266"/>
      <c r="G11" s="266"/>
      <c r="H11" s="266">
        <f t="shared" si="2"/>
        <v>0</v>
      </c>
      <c r="I11" s="266"/>
      <c r="J11" s="266">
        <f>abs(Tank_3_Activities[Closing Stock]-Tank_3_Activities[Opening Stock])</f>
        <v>0</v>
      </c>
      <c r="K11" s="266">
        <f>Tank_3_Activities[Closing Stock]-Tank_3_Activities[Expected Stock]</f>
        <v>0</v>
      </c>
      <c r="L11" s="266"/>
      <c r="M11" s="264" t="str">
        <f t="shared" si="3"/>
        <v>No Data</v>
      </c>
    </row>
    <row r="12">
      <c r="A12" s="262"/>
      <c r="B12" s="263"/>
      <c r="C12" s="263" t="str">
        <f t="shared" si="1"/>
        <v>December</v>
      </c>
      <c r="D12" s="263"/>
      <c r="E12" s="263"/>
      <c r="F12" s="263"/>
      <c r="G12" s="263"/>
      <c r="H12" s="263">
        <f t="shared" si="2"/>
        <v>0</v>
      </c>
      <c r="I12" s="263"/>
      <c r="J12" s="263">
        <f>abs(Tank_3_Activities[Closing Stock]-Tank_3_Activities[Opening Stock])</f>
        <v>0</v>
      </c>
      <c r="K12" s="263">
        <f>Tank_3_Activities[Closing Stock]-Tank_3_Activities[Expected Stock]</f>
        <v>0</v>
      </c>
      <c r="L12" s="263"/>
      <c r="M12" s="264" t="str">
        <f t="shared" si="3"/>
        <v>No Data</v>
      </c>
    </row>
    <row r="13">
      <c r="A13" s="265"/>
      <c r="B13" s="266"/>
      <c r="C13" s="266" t="str">
        <f t="shared" si="1"/>
        <v>December</v>
      </c>
      <c r="D13" s="266"/>
      <c r="E13" s="266"/>
      <c r="F13" s="266"/>
      <c r="G13" s="266"/>
      <c r="H13" s="266">
        <f t="shared" si="2"/>
        <v>0</v>
      </c>
      <c r="I13" s="266"/>
      <c r="J13" s="266">
        <f>abs(Tank_3_Activities[Closing Stock]-Tank_3_Activities[Opening Stock])</f>
        <v>0</v>
      </c>
      <c r="K13" s="266">
        <f>Tank_3_Activities[Closing Stock]-Tank_3_Activities[Expected Stock]</f>
        <v>0</v>
      </c>
      <c r="L13" s="266"/>
      <c r="M13" s="264" t="str">
        <f t="shared" si="3"/>
        <v>No Data</v>
      </c>
    </row>
    <row r="14">
      <c r="A14" s="262"/>
      <c r="B14" s="263"/>
      <c r="C14" s="263" t="str">
        <f t="shared" si="1"/>
        <v>December</v>
      </c>
      <c r="D14" s="263"/>
      <c r="E14" s="263"/>
      <c r="F14" s="263"/>
      <c r="G14" s="263"/>
      <c r="H14" s="263">
        <f t="shared" si="2"/>
        <v>0</v>
      </c>
      <c r="I14" s="263"/>
      <c r="J14" s="263">
        <f>abs(Tank_3_Activities[Closing Stock]-Tank_3_Activities[Opening Stock])</f>
        <v>0</v>
      </c>
      <c r="K14" s="263">
        <f>Tank_3_Activities[Closing Stock]-Tank_3_Activities[Expected Stock]</f>
        <v>0</v>
      </c>
      <c r="L14" s="263"/>
      <c r="M14" s="264" t="str">
        <f t="shared" si="3"/>
        <v>No Data</v>
      </c>
    </row>
    <row r="15">
      <c r="A15" s="265"/>
      <c r="B15" s="266"/>
      <c r="C15" s="266" t="str">
        <f t="shared" si="1"/>
        <v>December</v>
      </c>
      <c r="D15" s="266"/>
      <c r="E15" s="266"/>
      <c r="F15" s="266"/>
      <c r="G15" s="266"/>
      <c r="H15" s="266">
        <f t="shared" si="2"/>
        <v>0</v>
      </c>
      <c r="I15" s="266"/>
      <c r="J15" s="266">
        <f>abs(Tank_3_Activities[Closing Stock]-Tank_3_Activities[Opening Stock])</f>
        <v>0</v>
      </c>
      <c r="K15" s="266">
        <f>Tank_3_Activities[Closing Stock]-Tank_3_Activities[Expected Stock]</f>
        <v>0</v>
      </c>
      <c r="L15" s="266"/>
      <c r="M15" s="264" t="str">
        <f t="shared" si="3"/>
        <v>No Data</v>
      </c>
    </row>
    <row r="16">
      <c r="A16" s="262"/>
      <c r="B16" s="263"/>
      <c r="C16" s="263" t="str">
        <f t="shared" si="1"/>
        <v>December</v>
      </c>
      <c r="D16" s="263"/>
      <c r="E16" s="263"/>
      <c r="F16" s="263"/>
      <c r="G16" s="263"/>
      <c r="H16" s="263">
        <f t="shared" si="2"/>
        <v>0</v>
      </c>
      <c r="I16" s="263"/>
      <c r="J16" s="263">
        <f>abs(Tank_3_Activities[Closing Stock]-Tank_3_Activities[Opening Stock])</f>
        <v>0</v>
      </c>
      <c r="K16" s="263">
        <f>Tank_3_Activities[Closing Stock]-Tank_3_Activities[Expected Stock]</f>
        <v>0</v>
      </c>
      <c r="L16" s="263"/>
      <c r="M16" s="264" t="str">
        <f t="shared" si="3"/>
        <v>No Data</v>
      </c>
    </row>
    <row r="17">
      <c r="A17" s="265"/>
      <c r="B17" s="266"/>
      <c r="C17" s="266" t="str">
        <f t="shared" si="1"/>
        <v>December</v>
      </c>
      <c r="D17" s="266"/>
      <c r="E17" s="266"/>
      <c r="F17" s="266"/>
      <c r="G17" s="266"/>
      <c r="H17" s="266">
        <f t="shared" si="2"/>
        <v>0</v>
      </c>
      <c r="I17" s="266"/>
      <c r="J17" s="266">
        <f>abs(Tank_3_Activities[Closing Stock]-Tank_3_Activities[Opening Stock])</f>
        <v>0</v>
      </c>
      <c r="K17" s="266">
        <f>Tank_3_Activities[Closing Stock]-Tank_3_Activities[Expected Stock]</f>
        <v>0</v>
      </c>
      <c r="L17" s="266"/>
      <c r="M17" s="264" t="str">
        <f t="shared" si="3"/>
        <v>No Data</v>
      </c>
    </row>
    <row r="18">
      <c r="A18" s="262"/>
      <c r="B18" s="263"/>
      <c r="C18" s="263" t="str">
        <f t="shared" si="1"/>
        <v>December</v>
      </c>
      <c r="D18" s="263"/>
      <c r="E18" s="263"/>
      <c r="F18" s="263"/>
      <c r="G18" s="263"/>
      <c r="H18" s="263">
        <f t="shared" si="2"/>
        <v>0</v>
      </c>
      <c r="I18" s="263"/>
      <c r="J18" s="263">
        <f>abs(Tank_3_Activities[Closing Stock]-Tank_3_Activities[Opening Stock])</f>
        <v>0</v>
      </c>
      <c r="K18" s="263">
        <f>Tank_3_Activities[Closing Stock]-Tank_3_Activities[Expected Stock]</f>
        <v>0</v>
      </c>
      <c r="L18" s="263"/>
      <c r="M18" s="264" t="str">
        <f t="shared" si="3"/>
        <v>No Data</v>
      </c>
    </row>
    <row r="19">
      <c r="A19" s="265"/>
      <c r="B19" s="266"/>
      <c r="C19" s="266" t="str">
        <f t="shared" si="1"/>
        <v>December</v>
      </c>
      <c r="D19" s="266"/>
      <c r="E19" s="266"/>
      <c r="F19" s="266"/>
      <c r="G19" s="266"/>
      <c r="H19" s="266">
        <f t="shared" si="2"/>
        <v>0</v>
      </c>
      <c r="I19" s="266"/>
      <c r="J19" s="266">
        <f>abs(Tank_3_Activities[Closing Stock]-Tank_3_Activities[Opening Stock])</f>
        <v>0</v>
      </c>
      <c r="K19" s="266">
        <f>Tank_3_Activities[Closing Stock]-Tank_3_Activities[Expected Stock]</f>
        <v>0</v>
      </c>
      <c r="L19" s="266"/>
      <c r="M19" s="264" t="str">
        <f t="shared" si="3"/>
        <v>No Data</v>
      </c>
    </row>
    <row r="20">
      <c r="A20" s="262"/>
      <c r="B20" s="263"/>
      <c r="C20" s="263" t="str">
        <f t="shared" si="1"/>
        <v>December</v>
      </c>
      <c r="D20" s="263"/>
      <c r="E20" s="263"/>
      <c r="F20" s="263"/>
      <c r="G20" s="263"/>
      <c r="H20" s="263">
        <f t="shared" si="2"/>
        <v>0</v>
      </c>
      <c r="I20" s="263"/>
      <c r="J20" s="263">
        <f>abs(Tank_3_Activities[Closing Stock]-Tank_3_Activities[Opening Stock])</f>
        <v>0</v>
      </c>
      <c r="K20" s="263">
        <f>Tank_3_Activities[Closing Stock]-Tank_3_Activities[Expected Stock]</f>
        <v>0</v>
      </c>
      <c r="L20" s="263"/>
      <c r="M20" s="264" t="str">
        <f t="shared" si="3"/>
        <v>No Data</v>
      </c>
    </row>
    <row r="21">
      <c r="A21" s="265"/>
      <c r="B21" s="266"/>
      <c r="C21" s="266" t="str">
        <f t="shared" si="1"/>
        <v>December</v>
      </c>
      <c r="D21" s="266"/>
      <c r="E21" s="266"/>
      <c r="F21" s="266"/>
      <c r="G21" s="266"/>
      <c r="H21" s="266">
        <f t="shared" si="2"/>
        <v>0</v>
      </c>
      <c r="I21" s="266"/>
      <c r="J21" s="266">
        <f>abs(Tank_3_Activities[Closing Stock]-Tank_3_Activities[Opening Stock])</f>
        <v>0</v>
      </c>
      <c r="K21" s="266">
        <f>Tank_3_Activities[Closing Stock]-Tank_3_Activities[Expected Stock]</f>
        <v>0</v>
      </c>
      <c r="L21" s="266"/>
      <c r="M21" s="264" t="str">
        <f t="shared" si="3"/>
        <v>No Data</v>
      </c>
    </row>
    <row r="22">
      <c r="A22" s="262"/>
      <c r="B22" s="263"/>
      <c r="C22" s="263" t="str">
        <f t="shared" si="1"/>
        <v>December</v>
      </c>
      <c r="D22" s="263"/>
      <c r="E22" s="263"/>
      <c r="F22" s="263"/>
      <c r="G22" s="263"/>
      <c r="H22" s="263">
        <f t="shared" si="2"/>
        <v>0</v>
      </c>
      <c r="I22" s="263"/>
      <c r="J22" s="263">
        <f>abs(Tank_3_Activities[Closing Stock]-Tank_3_Activities[Opening Stock])</f>
        <v>0</v>
      </c>
      <c r="K22" s="263">
        <f>Tank_3_Activities[Closing Stock]-Tank_3_Activities[Expected Stock]</f>
        <v>0</v>
      </c>
      <c r="L22" s="263"/>
      <c r="M22" s="264" t="str">
        <f t="shared" si="3"/>
        <v>No Data</v>
      </c>
    </row>
    <row r="23">
      <c r="A23" s="265"/>
      <c r="B23" s="266"/>
      <c r="C23" s="266" t="str">
        <f t="shared" si="1"/>
        <v>December</v>
      </c>
      <c r="D23" s="266"/>
      <c r="E23" s="266"/>
      <c r="F23" s="266"/>
      <c r="G23" s="266"/>
      <c r="H23" s="266">
        <f t="shared" si="2"/>
        <v>0</v>
      </c>
      <c r="I23" s="266"/>
      <c r="J23" s="266">
        <f>abs(Tank_3_Activities[Closing Stock]-Tank_3_Activities[Opening Stock])</f>
        <v>0</v>
      </c>
      <c r="K23" s="266">
        <f>Tank_3_Activities[Closing Stock]-Tank_3_Activities[Expected Stock]</f>
        <v>0</v>
      </c>
      <c r="L23" s="266"/>
      <c r="M23" s="264" t="str">
        <f t="shared" si="3"/>
        <v>No Data</v>
      </c>
    </row>
    <row r="24">
      <c r="A24" s="262"/>
      <c r="B24" s="263"/>
      <c r="C24" s="263" t="str">
        <f t="shared" si="1"/>
        <v>December</v>
      </c>
      <c r="D24" s="263"/>
      <c r="E24" s="263"/>
      <c r="F24" s="263"/>
      <c r="G24" s="263"/>
      <c r="H24" s="263">
        <f t="shared" si="2"/>
        <v>0</v>
      </c>
      <c r="I24" s="263"/>
      <c r="J24" s="263">
        <f>abs(Tank_3_Activities[Closing Stock]-Tank_3_Activities[Opening Stock])</f>
        <v>0</v>
      </c>
      <c r="K24" s="263">
        <f>Tank_3_Activities[Closing Stock]-Tank_3_Activities[Expected Stock]</f>
        <v>0</v>
      </c>
      <c r="L24" s="263"/>
      <c r="M24" s="264" t="str">
        <f t="shared" si="3"/>
        <v>No Data</v>
      </c>
    </row>
    <row r="25">
      <c r="A25" s="265"/>
      <c r="B25" s="266"/>
      <c r="C25" s="266" t="str">
        <f t="shared" si="1"/>
        <v>December</v>
      </c>
      <c r="D25" s="266"/>
      <c r="E25" s="266"/>
      <c r="F25" s="266"/>
      <c r="G25" s="266"/>
      <c r="H25" s="266">
        <f t="shared" si="2"/>
        <v>0</v>
      </c>
      <c r="I25" s="266"/>
      <c r="J25" s="266">
        <f>abs(Tank_3_Activities[Closing Stock]-Tank_3_Activities[Opening Stock])</f>
        <v>0</v>
      </c>
      <c r="K25" s="266">
        <f>Tank_3_Activities[Closing Stock]-Tank_3_Activities[Expected Stock]</f>
        <v>0</v>
      </c>
      <c r="L25" s="266"/>
      <c r="M25" s="264" t="str">
        <f t="shared" si="3"/>
        <v>No Data</v>
      </c>
    </row>
    <row r="26">
      <c r="A26" s="262"/>
      <c r="B26" s="263"/>
      <c r="C26" s="263" t="str">
        <f t="shared" si="1"/>
        <v>December</v>
      </c>
      <c r="D26" s="263"/>
      <c r="E26" s="263"/>
      <c r="F26" s="263"/>
      <c r="G26" s="263"/>
      <c r="H26" s="263">
        <f t="shared" si="2"/>
        <v>0</v>
      </c>
      <c r="I26" s="263"/>
      <c r="J26" s="263">
        <f>abs(Tank_3_Activities[Closing Stock]-Tank_3_Activities[Opening Stock])</f>
        <v>0</v>
      </c>
      <c r="K26" s="263">
        <f>Tank_3_Activities[Closing Stock]-Tank_3_Activities[Expected Stock]</f>
        <v>0</v>
      </c>
      <c r="L26" s="263"/>
      <c r="M26" s="264" t="str">
        <f t="shared" si="3"/>
        <v>No Data</v>
      </c>
    </row>
    <row r="27">
      <c r="A27" s="265"/>
      <c r="B27" s="266"/>
      <c r="C27" s="266" t="str">
        <f t="shared" si="1"/>
        <v>December</v>
      </c>
      <c r="D27" s="266"/>
      <c r="E27" s="266"/>
      <c r="F27" s="266"/>
      <c r="G27" s="266"/>
      <c r="H27" s="266">
        <f t="shared" si="2"/>
        <v>0</v>
      </c>
      <c r="I27" s="266"/>
      <c r="J27" s="266">
        <f>abs(Tank_3_Activities[Closing Stock]-Tank_3_Activities[Opening Stock])</f>
        <v>0</v>
      </c>
      <c r="K27" s="266">
        <f>Tank_3_Activities[Closing Stock]-Tank_3_Activities[Expected Stock]</f>
        <v>0</v>
      </c>
      <c r="L27" s="266"/>
      <c r="M27" s="264" t="str">
        <f t="shared" si="3"/>
        <v>No Data</v>
      </c>
    </row>
    <row r="28">
      <c r="A28" s="262"/>
      <c r="B28" s="263"/>
      <c r="C28" s="263" t="str">
        <f t="shared" si="1"/>
        <v>December</v>
      </c>
      <c r="D28" s="263"/>
      <c r="E28" s="263"/>
      <c r="F28" s="263"/>
      <c r="G28" s="263"/>
      <c r="H28" s="263">
        <f t="shared" si="2"/>
        <v>0</v>
      </c>
      <c r="I28" s="263"/>
      <c r="J28" s="263">
        <f>abs(Tank_3_Activities[Closing Stock]-Tank_3_Activities[Opening Stock])</f>
        <v>0</v>
      </c>
      <c r="K28" s="263">
        <f>Tank_3_Activities[Closing Stock]-Tank_3_Activities[Expected Stock]</f>
        <v>0</v>
      </c>
      <c r="L28" s="263"/>
      <c r="M28" s="264" t="str">
        <f t="shared" si="3"/>
        <v>No Data</v>
      </c>
    </row>
    <row r="29">
      <c r="A29" s="265"/>
      <c r="B29" s="266"/>
      <c r="C29" s="266" t="str">
        <f t="shared" si="1"/>
        <v>December</v>
      </c>
      <c r="D29" s="266"/>
      <c r="E29" s="266"/>
      <c r="F29" s="266"/>
      <c r="G29" s="266"/>
      <c r="H29" s="266">
        <f t="shared" si="2"/>
        <v>0</v>
      </c>
      <c r="I29" s="266"/>
      <c r="J29" s="266">
        <f>abs(Tank_3_Activities[Closing Stock]-Tank_3_Activities[Opening Stock])</f>
        <v>0</v>
      </c>
      <c r="K29" s="266">
        <f>Tank_3_Activities[Closing Stock]-Tank_3_Activities[Expected Stock]</f>
        <v>0</v>
      </c>
      <c r="L29" s="266"/>
      <c r="M29" s="264" t="str">
        <f t="shared" si="3"/>
        <v>No Data</v>
      </c>
    </row>
    <row r="30">
      <c r="A30" s="267"/>
      <c r="B30" s="268"/>
      <c r="C30" s="268" t="str">
        <f t="shared" si="1"/>
        <v>December</v>
      </c>
      <c r="D30" s="268"/>
      <c r="E30" s="268"/>
      <c r="F30" s="268"/>
      <c r="G30" s="268"/>
      <c r="H30" s="268">
        <f t="shared" si="2"/>
        <v>0</v>
      </c>
      <c r="I30" s="268"/>
      <c r="J30" s="268">
        <f>abs(Tank_3_Activities[Closing Stock]-Tank_3_Activities[Opening Stock])</f>
        <v>0</v>
      </c>
      <c r="K30" s="268">
        <f>Tank_3_Activities[Closing Stock]-Tank_3_Activities[Expected Stock]</f>
        <v>0</v>
      </c>
      <c r="L30" s="268"/>
      <c r="M30" s="269" t="str">
        <f t="shared" si="3"/>
        <v>No Data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270" t="s">
        <v>62</v>
      </c>
      <c r="B1" s="271" t="s">
        <v>290</v>
      </c>
    </row>
  </sheetData>
  <drawing r:id="rId1"/>
  <tableParts count="1">
    <tablePart r:id="rId3"/>
  </tableParts>
</worksheet>
</file>